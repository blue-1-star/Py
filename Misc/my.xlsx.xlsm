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Programming\Py\Misc\"/>
    </mc:Choice>
  </mc:AlternateContent>
  <xr:revisionPtr revIDLastSave="0" documentId="13_ncr:1_{1ED68578-4BDA-45D4-8733-0BA0B5AE5722}" xr6:coauthVersionLast="47" xr6:coauthVersionMax="47" xr10:uidLastSave="{00000000-0000-0000-0000-000000000000}"/>
  <bookViews>
    <workbookView xWindow="6885" yWindow="4920" windowWidth="29145" windowHeight="16320" activeTab="5" xr2:uid="{5717FB4D-9267-4517-8716-27542D9F34E4}"/>
  </bookViews>
  <sheets>
    <sheet name="Income" sheetId="8" r:id="rId1"/>
    <sheet name="Sheet1" sheetId="3" r:id="rId2"/>
    <sheet name="Sheet2" sheetId="4" r:id="rId3"/>
    <sheet name="Sheet3" sheetId="5" r:id="rId4"/>
    <sheet name="Catalog" sheetId="6" r:id="rId5"/>
    <sheet name="TTN" sheetId="7" r:id="rId6"/>
    <sheet name="debug_inc" sheetId="9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4" i="9" l="1"/>
  <c r="F34" i="9" s="1"/>
  <c r="G34" i="9" s="1"/>
  <c r="J34" i="9"/>
  <c r="J36" i="9"/>
  <c r="D36" i="9"/>
  <c r="F36" i="9" s="1"/>
  <c r="G36" i="9" s="1"/>
  <c r="J35" i="9"/>
  <c r="D35" i="9"/>
  <c r="F35" i="9" s="1"/>
  <c r="G35" i="9" s="1"/>
  <c r="J33" i="9"/>
  <c r="D33" i="9"/>
  <c r="F33" i="9" s="1"/>
  <c r="G33" i="9" s="1"/>
  <c r="J32" i="9"/>
  <c r="D32" i="9"/>
  <c r="F32" i="9" s="1"/>
  <c r="G32" i="9" s="1"/>
  <c r="J31" i="9"/>
  <c r="D31" i="9"/>
  <c r="F31" i="9" s="1"/>
  <c r="G31" i="9" s="1"/>
  <c r="J30" i="9"/>
  <c r="D30" i="9"/>
  <c r="F30" i="9" s="1"/>
  <c r="G30" i="9" s="1"/>
  <c r="J29" i="9"/>
  <c r="D29" i="9"/>
  <c r="F29" i="9" s="1"/>
  <c r="G29" i="9" s="1"/>
  <c r="J28" i="9"/>
  <c r="D28" i="9"/>
  <c r="F28" i="9" s="1"/>
  <c r="G28" i="9" s="1"/>
  <c r="J27" i="9"/>
  <c r="D27" i="9"/>
  <c r="F27" i="9" s="1"/>
  <c r="G27" i="9" s="1"/>
  <c r="J26" i="9"/>
  <c r="D26" i="9"/>
  <c r="F26" i="9" s="1"/>
  <c r="G26" i="9" s="1"/>
  <c r="J25" i="9"/>
  <c r="D25" i="9"/>
  <c r="F25" i="9" s="1"/>
  <c r="G25" i="9" s="1"/>
  <c r="J24" i="9"/>
  <c r="D24" i="9"/>
  <c r="F24" i="9" s="1"/>
  <c r="G24" i="9" s="1"/>
  <c r="J23" i="9"/>
  <c r="D23" i="9"/>
  <c r="F23" i="9" s="1"/>
  <c r="G23" i="9" s="1"/>
  <c r="J22" i="9"/>
  <c r="D22" i="9"/>
  <c r="F22" i="9" s="1"/>
  <c r="G22" i="9" s="1"/>
  <c r="J21" i="9"/>
  <c r="D21" i="9"/>
  <c r="F21" i="9" s="1"/>
  <c r="G21" i="9" s="1"/>
  <c r="J20" i="9"/>
  <c r="D20" i="9"/>
  <c r="F20" i="9" s="1"/>
  <c r="G20" i="9" s="1"/>
  <c r="J19" i="9"/>
  <c r="D19" i="9"/>
  <c r="F19" i="9" s="1"/>
  <c r="G19" i="9" s="1"/>
  <c r="J18" i="9"/>
  <c r="D18" i="9"/>
  <c r="F18" i="9" s="1"/>
  <c r="G18" i="9" s="1"/>
  <c r="J17" i="9"/>
  <c r="D17" i="9"/>
  <c r="F17" i="9" s="1"/>
  <c r="G17" i="9" s="1"/>
  <c r="J16" i="9"/>
  <c r="D16" i="9"/>
  <c r="K16" i="9" s="1"/>
  <c r="J15" i="9"/>
  <c r="D15" i="9"/>
  <c r="K15" i="9" s="1"/>
  <c r="J14" i="9"/>
  <c r="F14" i="9"/>
  <c r="G14" i="9" s="1"/>
  <c r="D14" i="9"/>
  <c r="K14" i="9" s="1"/>
  <c r="J13" i="9"/>
  <c r="D13" i="9"/>
  <c r="K13" i="9" s="1"/>
  <c r="J12" i="9"/>
  <c r="D12" i="9"/>
  <c r="K12" i="9" s="1"/>
  <c r="J11" i="9"/>
  <c r="D11" i="9"/>
  <c r="K11" i="9" s="1"/>
  <c r="K10" i="9"/>
  <c r="J10" i="9"/>
  <c r="D10" i="9"/>
  <c r="F10" i="9" s="1"/>
  <c r="G10" i="9" s="1"/>
  <c r="J9" i="9"/>
  <c r="D9" i="9"/>
  <c r="K9" i="9" s="1"/>
  <c r="K8" i="9"/>
  <c r="J8" i="9"/>
  <c r="I8" i="9"/>
  <c r="G8" i="9"/>
  <c r="F8" i="9"/>
  <c r="D8" i="9"/>
  <c r="J7" i="9"/>
  <c r="I7" i="9"/>
  <c r="F7" i="9"/>
  <c r="G7" i="9" s="1"/>
  <c r="D7" i="9"/>
  <c r="K7" i="9" s="1"/>
  <c r="J6" i="9"/>
  <c r="I6" i="9"/>
  <c r="H6" i="9"/>
  <c r="D6" i="9"/>
  <c r="F6" i="9" s="1"/>
  <c r="G6" i="9" s="1"/>
  <c r="J5" i="9"/>
  <c r="I5" i="9"/>
  <c r="H5" i="9"/>
  <c r="D5" i="9"/>
  <c r="F5" i="9" s="1"/>
  <c r="G5" i="9" s="1"/>
  <c r="J4" i="9"/>
  <c r="I4" i="9"/>
  <c r="H4" i="9"/>
  <c r="D4" i="9"/>
  <c r="F4" i="9" s="1"/>
  <c r="G4" i="9" s="1"/>
  <c r="J3" i="9"/>
  <c r="H3" i="9"/>
  <c r="E3" i="9"/>
  <c r="D3" i="9"/>
  <c r="F3" i="9" s="1"/>
  <c r="F9" i="8"/>
  <c r="C9" i="8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C28" i="8" s="1"/>
  <c r="C29" i="8" s="1"/>
  <c r="C30" i="8" s="1"/>
  <c r="C31" i="8" s="1"/>
  <c r="C32" i="8" s="1"/>
  <c r="C33" i="8" s="1"/>
  <c r="C34" i="8" s="1"/>
  <c r="C35" i="8" s="1"/>
  <c r="C36" i="8" s="1"/>
  <c r="C37" i="8" s="1"/>
  <c r="C38" i="8" s="1"/>
  <c r="C39" i="8" s="1"/>
  <c r="C40" i="8" s="1"/>
  <c r="C41" i="8" s="1"/>
  <c r="C42" i="8" s="1"/>
  <c r="C43" i="8" s="1"/>
  <c r="C44" i="8" s="1"/>
  <c r="C45" i="8" s="1"/>
  <c r="C46" i="8" s="1"/>
  <c r="C47" i="8" s="1"/>
  <c r="C48" i="8" s="1"/>
  <c r="C49" i="8" s="1"/>
  <c r="C50" i="8" s="1"/>
  <c r="C51" i="8" s="1"/>
  <c r="C52" i="8" s="1"/>
  <c r="C53" i="8" s="1"/>
  <c r="C54" i="8" s="1"/>
  <c r="C55" i="8" s="1"/>
  <c r="C56" i="8" s="1"/>
  <c r="C57" i="8" s="1"/>
  <c r="C58" i="8" s="1"/>
  <c r="C59" i="8" s="1"/>
  <c r="C60" i="8" s="1"/>
  <c r="C61" i="8" s="1"/>
  <c r="C62" i="8" s="1"/>
  <c r="C63" i="8" s="1"/>
  <c r="C64" i="8" s="1"/>
  <c r="C65" i="8" s="1"/>
  <c r="C66" i="8" s="1"/>
  <c r="C67" i="8" s="1"/>
  <c r="C68" i="8" s="1"/>
  <c r="C69" i="8" s="1"/>
  <c r="C70" i="8" s="1"/>
  <c r="F7" i="8"/>
  <c r="F10" i="8" s="1"/>
  <c r="F11" i="8" s="1"/>
  <c r="F12" i="8" s="1"/>
  <c r="F13" i="8" s="1"/>
  <c r="F14" i="8" s="1"/>
  <c r="F15" i="8" s="1"/>
  <c r="F16" i="8" s="1"/>
  <c r="F17" i="8" s="1"/>
  <c r="F18" i="8" s="1"/>
  <c r="F19" i="8" s="1"/>
  <c r="F20" i="8" s="1"/>
  <c r="F21" i="8" s="1"/>
  <c r="F22" i="8" s="1"/>
  <c r="F23" i="8" s="1"/>
  <c r="F24" i="8" s="1"/>
  <c r="F6" i="8"/>
  <c r="E6" i="8"/>
  <c r="E7" i="8" s="1"/>
  <c r="E8" i="8" s="1"/>
  <c r="E9" i="8" s="1"/>
  <c r="E10" i="8" s="1"/>
  <c r="E11" i="8" s="1"/>
  <c r="E12" i="8" s="1"/>
  <c r="E13" i="8" s="1"/>
  <c r="E14" i="8" s="1"/>
  <c r="E15" i="8" s="1"/>
  <c r="E16" i="8" s="1"/>
  <c r="E17" i="8" s="1"/>
  <c r="E18" i="8" s="1"/>
  <c r="E19" i="8" s="1"/>
  <c r="E20" i="8" s="1"/>
  <c r="E21" i="8" s="1"/>
  <c r="E22" i="8" s="1"/>
  <c r="E23" i="8" s="1"/>
  <c r="E24" i="8" s="1"/>
  <c r="E25" i="8" s="1"/>
  <c r="E26" i="8" s="1"/>
  <c r="E27" i="8" s="1"/>
  <c r="E28" i="8" s="1"/>
  <c r="E29" i="8" s="1"/>
  <c r="E30" i="8" s="1"/>
  <c r="E31" i="8" s="1"/>
  <c r="E32" i="8" s="1"/>
  <c r="E33" i="8" s="1"/>
  <c r="E34" i="8" s="1"/>
  <c r="E35" i="8" s="1"/>
  <c r="E36" i="8" s="1"/>
  <c r="E37" i="8" s="1"/>
  <c r="E38" i="8" s="1"/>
  <c r="E39" i="8" s="1"/>
  <c r="E40" i="8" s="1"/>
  <c r="E41" i="8" s="1"/>
  <c r="E42" i="8" s="1"/>
  <c r="E43" i="8" s="1"/>
  <c r="E44" i="8" s="1"/>
  <c r="E45" i="8" s="1"/>
  <c r="E46" i="8" s="1"/>
  <c r="E47" i="8" s="1"/>
  <c r="E48" i="8" s="1"/>
  <c r="E49" i="8" s="1"/>
  <c r="E50" i="8" s="1"/>
  <c r="E51" i="8" s="1"/>
  <c r="E52" i="8" s="1"/>
  <c r="E53" i="8" s="1"/>
  <c r="E54" i="8" s="1"/>
  <c r="E55" i="8" s="1"/>
  <c r="E56" i="8" s="1"/>
  <c r="E57" i="8" s="1"/>
  <c r="E58" i="8" s="1"/>
  <c r="E59" i="8" s="1"/>
  <c r="E60" i="8" s="1"/>
  <c r="E61" i="8" s="1"/>
  <c r="E62" i="8" s="1"/>
  <c r="E63" i="8" s="1"/>
  <c r="E64" i="8" s="1"/>
  <c r="E65" i="8" s="1"/>
  <c r="E66" i="8" s="1"/>
  <c r="E67" i="8" s="1"/>
  <c r="G3" i="8"/>
  <c r="C3" i="8"/>
  <c r="C4" i="8" s="1"/>
  <c r="C5" i="8" s="1"/>
  <c r="C6" i="8" s="1"/>
  <c r="C7" i="8" s="1"/>
  <c r="D9" i="6"/>
  <c r="A15" i="7" a="1"/>
  <c r="A13" i="7" a="1"/>
  <c r="A14" i="7" a="1"/>
  <c r="A12" i="7" a="1"/>
  <c r="A11" i="7" a="1"/>
  <c r="A9" i="7" a="1"/>
  <c r="A3" i="7" a="1"/>
  <c r="A8" i="7" a="1"/>
  <c r="A7" i="7" a="1"/>
  <c r="A6" i="7" a="1"/>
  <c r="A5" i="7" a="1"/>
  <c r="A4" i="7" a="1"/>
  <c r="A10" i="7" a="1"/>
  <c r="A15" i="7" l="1"/>
  <c r="A13" i="7"/>
  <c r="A14" i="7"/>
  <c r="A12" i="7"/>
  <c r="A11" i="7"/>
  <c r="A4" i="7"/>
  <c r="Z5" i="7" s="1"/>
  <c r="A5" i="7"/>
  <c r="A6" i="7"/>
  <c r="A7" i="7"/>
  <c r="A8" i="7"/>
  <c r="A3" i="7"/>
  <c r="A9" i="7"/>
  <c r="A10" i="7"/>
  <c r="F15" i="9"/>
  <c r="G15" i="9" s="1"/>
  <c r="K6" i="9"/>
  <c r="F9" i="9"/>
  <c r="G9" i="9" s="1"/>
  <c r="F13" i="9"/>
  <c r="G13" i="9" s="1"/>
  <c r="F11" i="9"/>
  <c r="G11" i="9" s="1"/>
  <c r="F16" i="9"/>
  <c r="G16" i="9" s="1"/>
  <c r="F12" i="9"/>
  <c r="G12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<sst xmlns="http://schemas.openxmlformats.org/spreadsheetml/2006/main" count="85" uniqueCount="77">
  <si>
    <t>Equipment</t>
  </si>
  <si>
    <t>Code</t>
  </si>
  <si>
    <t>Group</t>
  </si>
  <si>
    <t>Name</t>
  </si>
  <si>
    <t>Price (uni)</t>
  </si>
  <si>
    <t>Description</t>
  </si>
  <si>
    <t>B_0001</t>
  </si>
  <si>
    <t>blue1star</t>
  </si>
  <si>
    <t>Одноместный  космич аппарат, 10 км\сек, 30 суток заряд</t>
  </si>
  <si>
    <t>B_0002</t>
  </si>
  <si>
    <t>blue4star</t>
  </si>
  <si>
    <t>4 - местный  космич аппарат, 10 км\сек, 30 суток заряд</t>
  </si>
  <si>
    <t>B_0003</t>
  </si>
  <si>
    <t>батарея ионно-электрич (blue1star)</t>
  </si>
  <si>
    <t>B_0004</t>
  </si>
  <si>
    <t xml:space="preserve">зарядка  батареи ( (blue1star)) </t>
  </si>
  <si>
    <t>B_0005</t>
  </si>
  <si>
    <t>лазерная пушка 1</t>
  </si>
  <si>
    <t xml:space="preserve">луч - 1000 км, мощность - </t>
  </si>
  <si>
    <t>B_0006</t>
  </si>
  <si>
    <t>зарядка ЛП-1</t>
  </si>
  <si>
    <t>B_0007</t>
  </si>
  <si>
    <t>зарядка ЛП усиленная-2</t>
  </si>
  <si>
    <t>B_0008</t>
  </si>
  <si>
    <t>орбитальная станция (УВ- упр вариант)</t>
  </si>
  <si>
    <t>B_0009</t>
  </si>
  <si>
    <t>ранец-крылья</t>
  </si>
  <si>
    <t>B_0010</t>
  </si>
  <si>
    <t>генератор 500 Мвт</t>
  </si>
  <si>
    <t>B_0011</t>
  </si>
  <si>
    <t>генератор 5 Гвт</t>
  </si>
  <si>
    <t>B_0012</t>
  </si>
  <si>
    <t>видеодатчик - стрекоза</t>
  </si>
  <si>
    <t>B_0013</t>
  </si>
  <si>
    <t>квантовый сервер - компьютер</t>
  </si>
  <si>
    <t>B_0014</t>
  </si>
  <si>
    <t>БПЛА - 1 атмосферный</t>
  </si>
  <si>
    <t>B_0015</t>
  </si>
  <si>
    <t>дрон подводный ДП-1</t>
  </si>
  <si>
    <t>B_0016</t>
  </si>
  <si>
    <t>B_0017</t>
  </si>
  <si>
    <t>B_0018</t>
  </si>
  <si>
    <t>B_0019</t>
  </si>
  <si>
    <t>B_0020</t>
  </si>
  <si>
    <t>B_0021</t>
  </si>
  <si>
    <t>B_0022</t>
  </si>
  <si>
    <t>B_0023</t>
  </si>
  <si>
    <t>B_0024</t>
  </si>
  <si>
    <t>B_0025</t>
  </si>
  <si>
    <t>B_0026</t>
  </si>
  <si>
    <t>B_0027</t>
  </si>
  <si>
    <t>B_0028</t>
  </si>
  <si>
    <t>B_0029</t>
  </si>
  <si>
    <t>B_0030</t>
  </si>
  <si>
    <t>B_0031</t>
  </si>
  <si>
    <t>B_0032</t>
  </si>
  <si>
    <t>B_0033</t>
  </si>
  <si>
    <t>B_0034</t>
  </si>
  <si>
    <t>B_0035</t>
  </si>
  <si>
    <t>B_0036</t>
  </si>
  <si>
    <t>Date</t>
  </si>
  <si>
    <t>N_Doc</t>
  </si>
  <si>
    <t>Amount</t>
  </si>
  <si>
    <t>N_00001</t>
  </si>
  <si>
    <t>2000 км/час, 100 кг, ЛП-0 дальность 200 км, 60 суток</t>
  </si>
  <si>
    <t>1000 выстрелов</t>
  </si>
  <si>
    <t>8000 выстрелов</t>
  </si>
  <si>
    <t>Result</t>
  </si>
  <si>
    <t>$ Total</t>
  </si>
  <si>
    <t>$take_off</t>
  </si>
  <si>
    <t>$Cash</t>
  </si>
  <si>
    <t>U_Total</t>
  </si>
  <si>
    <t>Utake_off</t>
  </si>
  <si>
    <t>step</t>
  </si>
  <si>
    <t xml:space="preserve">100 км/час, 80 Квт, </t>
  </si>
  <si>
    <t>? ПО включения текущих разработок</t>
  </si>
  <si>
    <t>с РЛО, ретранслятором радио-сигналов, моб интеренет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</si>
</sst>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$-409]* #,##0.00_ ;_-[$$-409]* \-#,##0.00\ ;_-[$$-409]* &quot;-&quot;??_ ;_-@_ "/>
    <numFmt numFmtId="167" formatCode="0.0"/>
    <numFmt numFmtId="168" formatCode="#,##0.0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64" fontId="0" fillId="0" borderId="0" xfId="0" applyNumberFormat="1"/>
    <xf numFmtId="3" fontId="0" fillId="0" borderId="0" xfId="0" applyNumberFormat="1"/>
    <xf numFmtId="14" fontId="0" fillId="0" borderId="0" xfId="0" applyNumberFormat="1"/>
    <xf numFmtId="0" fontId="1" fillId="0" borderId="0" xfId="0" applyFont="1"/>
    <xf numFmtId="0" fontId="2" fillId="0" borderId="0" xfId="0" applyFont="1"/>
    <xf numFmtId="0" fontId="0" fillId="0" borderId="0" xfId="0" applyAlignment="1">
      <alignment horizontal="center"/>
    </xf>
    <xf numFmtId="167" fontId="0" fillId="0" borderId="0" xfId="0" applyNumberFormat="1"/>
    <xf numFmtId="168" fontId="0" fillId="0" borderId="0" xfId="0" applyNumberFormat="1"/>
    <xf numFmtId="0" fontId="0" fillId="0" borderId="0" xfId="0" applyAlignment="1">
      <alignment horizontal="right"/>
    </xf>
    <xf numFmtId="22" fontId="0" fillId="0" borderId="0" xfId="0" applyNumberForma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88828-ABB6-4808-9A52-35A85E02B2EB}">
  <sheetPr codeName="Sheet14"/>
  <dimension ref="A1:H85"/>
  <sheetViews>
    <sheetView workbookViewId="0">
      <selection activeCell="F24" sqref="F24"/>
    </sheetView>
  </sheetViews>
  <sheetFormatPr defaultRowHeight="15" x14ac:dyDescent="0.25"/>
  <cols>
    <col min="1" max="1" width="10.140625" bestFit="1" customWidth="1"/>
    <col min="3" max="3" width="16.140625" customWidth="1"/>
    <col min="4" max="4" width="10.140625" customWidth="1"/>
    <col min="5" max="5" width="9.7109375" customWidth="1"/>
    <col min="6" max="6" width="16.28515625" customWidth="1"/>
    <col min="7" max="7" width="17.85546875" customWidth="1"/>
  </cols>
  <sheetData>
    <row r="1" spans="1:8" x14ac:dyDescent="0.25">
      <c r="G1" s="4">
        <v>2.5000000000000001E-2</v>
      </c>
      <c r="H1" s="4">
        <v>40</v>
      </c>
    </row>
    <row r="2" spans="1:8" x14ac:dyDescent="0.25">
      <c r="A2" s="6" t="s">
        <v>60</v>
      </c>
      <c r="B2" s="6" t="s">
        <v>67</v>
      </c>
      <c r="C2" s="6" t="s">
        <v>68</v>
      </c>
      <c r="D2" s="6" t="s">
        <v>69</v>
      </c>
      <c r="E2" s="6" t="s">
        <v>70</v>
      </c>
      <c r="F2" s="6" t="s">
        <v>71</v>
      </c>
      <c r="G2" s="6" t="s">
        <v>72</v>
      </c>
      <c r="H2" s="4"/>
    </row>
    <row r="3" spans="1:8" x14ac:dyDescent="0.25">
      <c r="A3" s="3">
        <v>45238</v>
      </c>
      <c r="B3">
        <v>60</v>
      </c>
      <c r="C3">
        <f>B3*(0.025*(B3-40)+1)</f>
        <v>90</v>
      </c>
      <c r="G3">
        <f>SUMIF(B:B,"&gt;80")</f>
        <v>2439</v>
      </c>
    </row>
    <row r="4" spans="1:8" x14ac:dyDescent="0.25">
      <c r="A4" s="3">
        <v>45239</v>
      </c>
      <c r="B4">
        <v>64</v>
      </c>
      <c r="C4">
        <f>C3*((B4-$H$1)*$G$1+1)-D4</f>
        <v>144</v>
      </c>
    </row>
    <row r="5" spans="1:8" x14ac:dyDescent="0.25">
      <c r="A5" s="3">
        <v>45240</v>
      </c>
      <c r="B5">
        <v>80</v>
      </c>
      <c r="C5">
        <f>C4*((B5-$H$1)*$G$1+1)-D5</f>
        <v>288</v>
      </c>
    </row>
    <row r="6" spans="1:8" x14ac:dyDescent="0.25">
      <c r="A6" s="3">
        <v>45241</v>
      </c>
      <c r="B6">
        <v>80</v>
      </c>
      <c r="C6">
        <f>C5*((B6-$H$1)*$G$1+1)-D6</f>
        <v>576</v>
      </c>
      <c r="E6">
        <f>E5+D6</f>
        <v>0</v>
      </c>
      <c r="F6">
        <f>MOD(B6, $H$1)*$G$1*POWER(2,QUOTIENT(B6,$H$1)-1) + POWER(2,QUOTIENT(B6, $H$1)-1)-2</f>
        <v>0</v>
      </c>
    </row>
    <row r="7" spans="1:8" x14ac:dyDescent="0.25">
      <c r="A7" s="3">
        <v>45242</v>
      </c>
      <c r="B7">
        <v>84</v>
      </c>
      <c r="C7">
        <f>C6*((B7-$H$1)*$G$1+1)-D7</f>
        <v>1200.0000000000002</v>
      </c>
      <c r="D7">
        <v>9.6</v>
      </c>
      <c r="E7">
        <f>E6+D7</f>
        <v>9.6</v>
      </c>
      <c r="F7" s="7">
        <f>(1+MOD(B7, $H$1)*$G$1*POWER(2,QUOTIENT(B7,$H$1)-1) + POWER(2,QUOTIENT(B7, $H$1)-1)-2)</f>
        <v>1.2000000000000002</v>
      </c>
    </row>
    <row r="8" spans="1:8" x14ac:dyDescent="0.25">
      <c r="A8" s="3">
        <v>45243</v>
      </c>
      <c r="C8">
        <v>1200</v>
      </c>
      <c r="E8">
        <f>E7+D8</f>
        <v>9.6</v>
      </c>
    </row>
    <row r="9" spans="1:8" x14ac:dyDescent="0.25">
      <c r="A9" s="3">
        <v>45244</v>
      </c>
      <c r="B9">
        <v>80</v>
      </c>
      <c r="C9">
        <f>C8*((B9-$H$1)*$G$1+1)-D9</f>
        <v>2400</v>
      </c>
      <c r="E9">
        <f>E8+D9</f>
        <v>9.6</v>
      </c>
      <c r="F9">
        <f t="shared" ref="F9" si="0">(MOD(B9, $H$1)*$G$1*POWER(2,QUOTIENT(B9,$H$1)-1) + POWER(2,QUOTIENT(B9, $H$1)-1)-2)</f>
        <v>0</v>
      </c>
    </row>
    <row r="10" spans="1:8" x14ac:dyDescent="0.25">
      <c r="A10" s="3">
        <v>45245</v>
      </c>
      <c r="B10">
        <v>86</v>
      </c>
      <c r="C10">
        <f>C9*((B10-$H$1)*$G$1+1)-D10</f>
        <v>5160.0000000000009</v>
      </c>
      <c r="E10">
        <f>E9+D10</f>
        <v>9.6</v>
      </c>
      <c r="F10" s="7">
        <f>(1+MOD(B10, $H$1)*$G$1*POWER(2,QUOTIENT(B10,$H$1)-1) + POWER(2,QUOTIENT(B10, $H$1)-1)-2)*F7</f>
        <v>1.56</v>
      </c>
    </row>
    <row r="11" spans="1:8" x14ac:dyDescent="0.25">
      <c r="A11" s="3">
        <v>45246</v>
      </c>
      <c r="B11">
        <v>88</v>
      </c>
      <c r="C11">
        <f>(C10*((B11-$H$1)*$G$1+1)-D11)/100</f>
        <v>110.00000000000004</v>
      </c>
      <c r="D11">
        <v>352</v>
      </c>
      <c r="E11">
        <f>(E10+D11)/100</f>
        <v>3.6160000000000001</v>
      </c>
      <c r="F11" s="7">
        <f t="shared" ref="F11:F24" si="1">(1+MOD(B11, $H$1)*$G$1*POWER(2,QUOTIENT(B11,$H$1)-1) + POWER(2,QUOTIENT(B11, $H$1)-1)-2)*F10</f>
        <v>2.1839999999999997</v>
      </c>
    </row>
    <row r="12" spans="1:8" x14ac:dyDescent="0.25">
      <c r="A12" s="3">
        <v>45247</v>
      </c>
      <c r="B12">
        <v>90</v>
      </c>
      <c r="C12">
        <f t="shared" ref="C12:C70" si="2">(C11*((B12-$H$1)*$G$1+1)-D12)</f>
        <v>247.50000000000009</v>
      </c>
      <c r="E12">
        <f t="shared" ref="E12:E67" si="3">(E11+D12)</f>
        <v>3.6160000000000001</v>
      </c>
      <c r="F12" s="7">
        <f t="shared" si="1"/>
        <v>3.2759999999999998</v>
      </c>
    </row>
    <row r="13" spans="1:8" x14ac:dyDescent="0.25">
      <c r="A13" s="3">
        <v>45248</v>
      </c>
      <c r="B13">
        <v>100</v>
      </c>
      <c r="C13">
        <f t="shared" si="2"/>
        <v>618.00000000000023</v>
      </c>
      <c r="D13">
        <v>0.75</v>
      </c>
      <c r="E13" s="1">
        <f t="shared" si="3"/>
        <v>4.3659999999999997</v>
      </c>
      <c r="F13" s="7">
        <f t="shared" si="1"/>
        <v>6.5519999999999996</v>
      </c>
    </row>
    <row r="14" spans="1:8" x14ac:dyDescent="0.25">
      <c r="A14" s="3">
        <v>45249</v>
      </c>
      <c r="B14">
        <v>120</v>
      </c>
      <c r="C14">
        <f t="shared" si="2"/>
        <v>1854.0000000000007</v>
      </c>
      <c r="E14" s="1">
        <f t="shared" si="3"/>
        <v>4.3659999999999997</v>
      </c>
      <c r="F14" s="7">
        <f t="shared" si="1"/>
        <v>19.655999999999999</v>
      </c>
    </row>
    <row r="15" spans="1:8" x14ac:dyDescent="0.25">
      <c r="A15" s="3">
        <v>45250</v>
      </c>
      <c r="B15">
        <v>160</v>
      </c>
      <c r="C15">
        <f t="shared" si="2"/>
        <v>7416.0000000000027</v>
      </c>
      <c r="E15" s="1">
        <f t="shared" si="3"/>
        <v>4.3659999999999997</v>
      </c>
      <c r="F15" s="7">
        <f t="shared" si="1"/>
        <v>137.59199999999998</v>
      </c>
    </row>
    <row r="16" spans="1:8" x14ac:dyDescent="0.25">
      <c r="A16" s="3">
        <v>45251</v>
      </c>
      <c r="B16">
        <v>170</v>
      </c>
      <c r="C16">
        <f t="shared" si="2"/>
        <v>31518.000000000011</v>
      </c>
      <c r="E16" s="1">
        <f t="shared" si="3"/>
        <v>4.3659999999999997</v>
      </c>
      <c r="F16" s="7">
        <f t="shared" si="1"/>
        <v>1238.328</v>
      </c>
    </row>
    <row r="17" spans="1:6" x14ac:dyDescent="0.25">
      <c r="A17" s="3">
        <v>45252</v>
      </c>
      <c r="B17">
        <v>160</v>
      </c>
      <c r="C17">
        <f t="shared" si="2"/>
        <v>126072.00000000004</v>
      </c>
      <c r="E17" s="1">
        <f t="shared" si="3"/>
        <v>4.3659999999999997</v>
      </c>
      <c r="F17" s="7">
        <f t="shared" si="1"/>
        <v>8668.2960000000003</v>
      </c>
    </row>
    <row r="18" spans="1:6" x14ac:dyDescent="0.25">
      <c r="A18" s="3">
        <v>45253</v>
      </c>
      <c r="B18">
        <v>159</v>
      </c>
      <c r="C18">
        <f t="shared" si="2"/>
        <v>501136.00000000017</v>
      </c>
      <c r="D18">
        <v>0.2</v>
      </c>
      <c r="E18" s="1">
        <f t="shared" si="3"/>
        <v>4.5659999999999998</v>
      </c>
      <c r="F18" s="7">
        <f t="shared" si="1"/>
        <v>59811.242400000003</v>
      </c>
    </row>
    <row r="19" spans="1:6" x14ac:dyDescent="0.25">
      <c r="A19" s="3">
        <v>45254</v>
      </c>
      <c r="B19">
        <v>160</v>
      </c>
      <c r="C19" s="2">
        <f t="shared" si="2"/>
        <v>2004544.0000000007</v>
      </c>
      <c r="E19" s="1">
        <f t="shared" si="3"/>
        <v>4.5659999999999998</v>
      </c>
      <c r="F19" s="7">
        <f t="shared" si="1"/>
        <v>418678.69680000003</v>
      </c>
    </row>
    <row r="20" spans="1:6" x14ac:dyDescent="0.25">
      <c r="A20" s="3">
        <v>45255</v>
      </c>
      <c r="B20">
        <v>164</v>
      </c>
      <c r="C20" s="2">
        <f t="shared" si="2"/>
        <v>8218630.0000000019</v>
      </c>
      <c r="D20">
        <v>0.4</v>
      </c>
      <c r="E20" s="1">
        <f t="shared" si="3"/>
        <v>4.9660000000000002</v>
      </c>
      <c r="F20" s="8">
        <f t="shared" si="1"/>
        <v>3265693.8350400007</v>
      </c>
    </row>
    <row r="21" spans="1:6" x14ac:dyDescent="0.25">
      <c r="A21" s="3">
        <v>45256</v>
      </c>
      <c r="B21">
        <v>166</v>
      </c>
      <c r="C21" s="2">
        <f t="shared" si="2"/>
        <v>34107314.500000007</v>
      </c>
      <c r="E21" s="1">
        <f t="shared" si="3"/>
        <v>4.9660000000000002</v>
      </c>
      <c r="F21" s="8">
        <f t="shared" si="1"/>
        <v>26778689.447328005</v>
      </c>
    </row>
    <row r="22" spans="1:6" x14ac:dyDescent="0.25">
      <c r="A22" s="3">
        <v>45257</v>
      </c>
      <c r="B22">
        <v>200</v>
      </c>
      <c r="C22" s="2">
        <f t="shared" si="2"/>
        <v>170536572.50000003</v>
      </c>
      <c r="E22" s="1">
        <f t="shared" si="3"/>
        <v>4.9660000000000002</v>
      </c>
      <c r="F22" s="8">
        <f t="shared" si="1"/>
        <v>401680341.70992005</v>
      </c>
    </row>
    <row r="23" spans="1:6" x14ac:dyDescent="0.25">
      <c r="A23" s="3">
        <v>45258</v>
      </c>
      <c r="B23">
        <v>260</v>
      </c>
      <c r="C23" s="2">
        <f t="shared" si="2"/>
        <v>1108487721.2500002</v>
      </c>
      <c r="E23" s="1">
        <f t="shared" si="3"/>
        <v>4.9660000000000002</v>
      </c>
      <c r="F23" s="2">
        <f t="shared" si="1"/>
        <v>18878976060.366241</v>
      </c>
    </row>
    <row r="24" spans="1:6" x14ac:dyDescent="0.25">
      <c r="A24" s="3">
        <v>45259</v>
      </c>
      <c r="B24">
        <v>272</v>
      </c>
      <c r="C24" s="2">
        <f t="shared" si="2"/>
        <v>7537716504.5000029</v>
      </c>
      <c r="E24" s="1">
        <f t="shared" si="3"/>
        <v>4.9660000000000002</v>
      </c>
      <c r="F24" s="2">
        <f t="shared" si="1"/>
        <v>1068550045016.7292</v>
      </c>
    </row>
    <row r="25" spans="1:6" x14ac:dyDescent="0.25">
      <c r="A25" s="3">
        <v>45260</v>
      </c>
      <c r="C25" s="2">
        <f t="shared" si="2"/>
        <v>0</v>
      </c>
      <c r="E25" s="1">
        <f t="shared" si="3"/>
        <v>4.9660000000000002</v>
      </c>
    </row>
    <row r="26" spans="1:6" x14ac:dyDescent="0.25">
      <c r="A26" s="3">
        <v>45261</v>
      </c>
      <c r="C26" s="2">
        <f t="shared" si="2"/>
        <v>0</v>
      </c>
      <c r="E26" s="1">
        <f t="shared" si="3"/>
        <v>4.9660000000000002</v>
      </c>
    </row>
    <row r="27" spans="1:6" x14ac:dyDescent="0.25">
      <c r="A27" s="3">
        <v>45262</v>
      </c>
      <c r="C27" s="2">
        <f t="shared" si="2"/>
        <v>0</v>
      </c>
      <c r="E27" s="1">
        <f t="shared" si="3"/>
        <v>4.9660000000000002</v>
      </c>
    </row>
    <row r="28" spans="1:6" x14ac:dyDescent="0.25">
      <c r="A28" s="3">
        <v>45263</v>
      </c>
      <c r="C28" s="2">
        <f t="shared" si="2"/>
        <v>0</v>
      </c>
      <c r="E28" s="1">
        <f t="shared" si="3"/>
        <v>4.9660000000000002</v>
      </c>
    </row>
    <row r="29" spans="1:6" x14ac:dyDescent="0.25">
      <c r="A29" s="3">
        <v>45264</v>
      </c>
      <c r="C29" s="2">
        <f t="shared" si="2"/>
        <v>0</v>
      </c>
      <c r="E29" s="1">
        <f t="shared" si="3"/>
        <v>4.9660000000000002</v>
      </c>
    </row>
    <row r="30" spans="1:6" x14ac:dyDescent="0.25">
      <c r="A30" s="3">
        <v>45265</v>
      </c>
      <c r="C30" s="2">
        <f t="shared" si="2"/>
        <v>0</v>
      </c>
      <c r="E30" s="1">
        <f t="shared" si="3"/>
        <v>4.9660000000000002</v>
      </c>
    </row>
    <row r="31" spans="1:6" x14ac:dyDescent="0.25">
      <c r="A31" s="3">
        <v>45266</v>
      </c>
      <c r="C31" s="2">
        <f t="shared" si="2"/>
        <v>0</v>
      </c>
      <c r="E31" s="1">
        <f t="shared" si="3"/>
        <v>4.9660000000000002</v>
      </c>
    </row>
    <row r="32" spans="1:6" x14ac:dyDescent="0.25">
      <c r="A32" s="3">
        <v>45267</v>
      </c>
      <c r="C32" s="2">
        <f t="shared" si="2"/>
        <v>0</v>
      </c>
      <c r="E32" s="1">
        <f t="shared" si="3"/>
        <v>4.9660000000000002</v>
      </c>
    </row>
    <row r="33" spans="1:5" x14ac:dyDescent="0.25">
      <c r="A33" s="3">
        <v>45268</v>
      </c>
      <c r="C33" s="2">
        <f t="shared" si="2"/>
        <v>0</v>
      </c>
      <c r="E33" s="1">
        <f t="shared" si="3"/>
        <v>4.9660000000000002</v>
      </c>
    </row>
    <row r="34" spans="1:5" x14ac:dyDescent="0.25">
      <c r="A34" s="3">
        <v>45269</v>
      </c>
      <c r="C34" s="2">
        <f t="shared" si="2"/>
        <v>0</v>
      </c>
      <c r="E34" s="1">
        <f t="shared" si="3"/>
        <v>4.9660000000000002</v>
      </c>
    </row>
    <row r="35" spans="1:5" x14ac:dyDescent="0.25">
      <c r="A35" s="3">
        <v>45270</v>
      </c>
      <c r="C35" s="2">
        <f t="shared" si="2"/>
        <v>0</v>
      </c>
      <c r="E35" s="1">
        <f t="shared" si="3"/>
        <v>4.9660000000000002</v>
      </c>
    </row>
    <row r="36" spans="1:5" x14ac:dyDescent="0.25">
      <c r="A36" s="3">
        <v>45271</v>
      </c>
      <c r="C36" s="2">
        <f t="shared" si="2"/>
        <v>0</v>
      </c>
      <c r="E36" s="1">
        <f t="shared" si="3"/>
        <v>4.9660000000000002</v>
      </c>
    </row>
    <row r="37" spans="1:5" x14ac:dyDescent="0.25">
      <c r="A37" s="3">
        <v>45272</v>
      </c>
      <c r="C37" s="2">
        <f t="shared" si="2"/>
        <v>0</v>
      </c>
      <c r="E37" s="1">
        <f t="shared" si="3"/>
        <v>4.9660000000000002</v>
      </c>
    </row>
    <row r="38" spans="1:5" x14ac:dyDescent="0.25">
      <c r="A38" s="3">
        <v>45273</v>
      </c>
      <c r="C38" s="2">
        <f t="shared" si="2"/>
        <v>0</v>
      </c>
      <c r="E38" s="1">
        <f t="shared" si="3"/>
        <v>4.9660000000000002</v>
      </c>
    </row>
    <row r="39" spans="1:5" x14ac:dyDescent="0.25">
      <c r="A39" s="3">
        <v>45274</v>
      </c>
      <c r="C39" s="2">
        <f t="shared" si="2"/>
        <v>0</v>
      </c>
      <c r="E39" s="1">
        <f t="shared" si="3"/>
        <v>4.9660000000000002</v>
      </c>
    </row>
    <row r="40" spans="1:5" x14ac:dyDescent="0.25">
      <c r="A40" s="3">
        <v>45275</v>
      </c>
      <c r="C40" s="2">
        <f t="shared" si="2"/>
        <v>0</v>
      </c>
      <c r="E40" s="1">
        <f t="shared" si="3"/>
        <v>4.9660000000000002</v>
      </c>
    </row>
    <row r="41" spans="1:5" x14ac:dyDescent="0.25">
      <c r="C41" s="2">
        <f t="shared" si="2"/>
        <v>0</v>
      </c>
      <c r="E41" s="1">
        <f t="shared" si="3"/>
        <v>4.9660000000000002</v>
      </c>
    </row>
    <row r="42" spans="1:5" x14ac:dyDescent="0.25">
      <c r="C42" s="2">
        <f t="shared" si="2"/>
        <v>0</v>
      </c>
      <c r="E42" s="1">
        <f t="shared" si="3"/>
        <v>4.9660000000000002</v>
      </c>
    </row>
    <row r="43" spans="1:5" x14ac:dyDescent="0.25">
      <c r="C43" s="2">
        <f t="shared" si="2"/>
        <v>0</v>
      </c>
      <c r="E43" s="1">
        <f t="shared" si="3"/>
        <v>4.9660000000000002</v>
      </c>
    </row>
    <row r="44" spans="1:5" x14ac:dyDescent="0.25">
      <c r="C44" s="2">
        <f t="shared" si="2"/>
        <v>0</v>
      </c>
      <c r="E44" s="1">
        <f t="shared" si="3"/>
        <v>4.9660000000000002</v>
      </c>
    </row>
    <row r="45" spans="1:5" x14ac:dyDescent="0.25">
      <c r="C45" s="2">
        <f t="shared" si="2"/>
        <v>0</v>
      </c>
      <c r="E45" s="1">
        <f t="shared" si="3"/>
        <v>4.9660000000000002</v>
      </c>
    </row>
    <row r="46" spans="1:5" x14ac:dyDescent="0.25">
      <c r="C46" s="2">
        <f t="shared" si="2"/>
        <v>0</v>
      </c>
      <c r="E46" s="1">
        <f t="shared" si="3"/>
        <v>4.9660000000000002</v>
      </c>
    </row>
    <row r="47" spans="1:5" x14ac:dyDescent="0.25">
      <c r="C47" s="2">
        <f t="shared" si="2"/>
        <v>0</v>
      </c>
      <c r="E47" s="1">
        <f t="shared" si="3"/>
        <v>4.9660000000000002</v>
      </c>
    </row>
    <row r="48" spans="1:5" x14ac:dyDescent="0.25">
      <c r="C48" s="2">
        <f t="shared" si="2"/>
        <v>0</v>
      </c>
      <c r="E48" s="1">
        <f t="shared" si="3"/>
        <v>4.9660000000000002</v>
      </c>
    </row>
    <row r="49" spans="3:5" x14ac:dyDescent="0.25">
      <c r="C49" s="2">
        <f t="shared" si="2"/>
        <v>0</v>
      </c>
      <c r="E49" s="1">
        <f t="shared" si="3"/>
        <v>4.9660000000000002</v>
      </c>
    </row>
    <row r="50" spans="3:5" x14ac:dyDescent="0.25">
      <c r="C50" s="2">
        <f t="shared" si="2"/>
        <v>0</v>
      </c>
      <c r="E50" s="1">
        <f t="shared" si="3"/>
        <v>4.9660000000000002</v>
      </c>
    </row>
    <row r="51" spans="3:5" x14ac:dyDescent="0.25">
      <c r="C51" s="2">
        <f t="shared" si="2"/>
        <v>0</v>
      </c>
      <c r="E51" s="1">
        <f t="shared" si="3"/>
        <v>4.9660000000000002</v>
      </c>
    </row>
    <row r="52" spans="3:5" x14ac:dyDescent="0.25">
      <c r="C52" s="2">
        <f t="shared" si="2"/>
        <v>0</v>
      </c>
      <c r="E52" s="1">
        <f t="shared" si="3"/>
        <v>4.9660000000000002</v>
      </c>
    </row>
    <row r="53" spans="3:5" x14ac:dyDescent="0.25">
      <c r="C53" s="2">
        <f t="shared" si="2"/>
        <v>0</v>
      </c>
      <c r="E53" s="1">
        <f t="shared" si="3"/>
        <v>4.9660000000000002</v>
      </c>
    </row>
    <row r="54" spans="3:5" x14ac:dyDescent="0.25">
      <c r="C54" s="2">
        <f t="shared" si="2"/>
        <v>0</v>
      </c>
      <c r="E54" s="1">
        <f t="shared" si="3"/>
        <v>4.9660000000000002</v>
      </c>
    </row>
    <row r="55" spans="3:5" x14ac:dyDescent="0.25">
      <c r="C55" s="2">
        <f t="shared" si="2"/>
        <v>0</v>
      </c>
      <c r="E55" s="1">
        <f t="shared" si="3"/>
        <v>4.9660000000000002</v>
      </c>
    </row>
    <row r="56" spans="3:5" x14ac:dyDescent="0.25">
      <c r="C56" s="2">
        <f t="shared" si="2"/>
        <v>0</v>
      </c>
      <c r="E56" s="1">
        <f t="shared" si="3"/>
        <v>4.9660000000000002</v>
      </c>
    </row>
    <row r="57" spans="3:5" x14ac:dyDescent="0.25">
      <c r="C57" s="2">
        <f t="shared" si="2"/>
        <v>0</v>
      </c>
      <c r="E57" s="1">
        <f t="shared" si="3"/>
        <v>4.9660000000000002</v>
      </c>
    </row>
    <row r="58" spans="3:5" x14ac:dyDescent="0.25">
      <c r="C58" s="2">
        <f t="shared" si="2"/>
        <v>0</v>
      </c>
      <c r="E58" s="1">
        <f t="shared" si="3"/>
        <v>4.9660000000000002</v>
      </c>
    </row>
    <row r="59" spans="3:5" x14ac:dyDescent="0.25">
      <c r="C59" s="2">
        <f t="shared" si="2"/>
        <v>0</v>
      </c>
      <c r="E59" s="1">
        <f t="shared" si="3"/>
        <v>4.9660000000000002</v>
      </c>
    </row>
    <row r="60" spans="3:5" x14ac:dyDescent="0.25">
      <c r="C60" s="2">
        <f t="shared" si="2"/>
        <v>0</v>
      </c>
      <c r="E60" s="1">
        <f t="shared" si="3"/>
        <v>4.9660000000000002</v>
      </c>
    </row>
    <row r="61" spans="3:5" x14ac:dyDescent="0.25">
      <c r="C61" s="2">
        <f t="shared" si="2"/>
        <v>0</v>
      </c>
      <c r="E61" s="1">
        <f t="shared" si="3"/>
        <v>4.9660000000000002</v>
      </c>
    </row>
    <row r="62" spans="3:5" x14ac:dyDescent="0.25">
      <c r="C62" s="2">
        <f t="shared" si="2"/>
        <v>0</v>
      </c>
      <c r="E62" s="1">
        <f t="shared" si="3"/>
        <v>4.9660000000000002</v>
      </c>
    </row>
    <row r="63" spans="3:5" x14ac:dyDescent="0.25">
      <c r="C63" s="2">
        <f t="shared" si="2"/>
        <v>0</v>
      </c>
      <c r="E63" s="1">
        <f t="shared" si="3"/>
        <v>4.9660000000000002</v>
      </c>
    </row>
    <row r="64" spans="3:5" x14ac:dyDescent="0.25">
      <c r="C64" s="2">
        <f t="shared" si="2"/>
        <v>0</v>
      </c>
      <c r="E64" s="1">
        <f t="shared" si="3"/>
        <v>4.9660000000000002</v>
      </c>
    </row>
    <row r="65" spans="3:5" x14ac:dyDescent="0.25">
      <c r="C65" s="2">
        <f t="shared" si="2"/>
        <v>0</v>
      </c>
      <c r="E65" s="1">
        <f t="shared" si="3"/>
        <v>4.9660000000000002</v>
      </c>
    </row>
    <row r="66" spans="3:5" x14ac:dyDescent="0.25">
      <c r="C66" s="2">
        <f t="shared" si="2"/>
        <v>0</v>
      </c>
      <c r="E66" s="1">
        <f t="shared" si="3"/>
        <v>4.9660000000000002</v>
      </c>
    </row>
    <row r="67" spans="3:5" x14ac:dyDescent="0.25">
      <c r="C67" s="2">
        <f t="shared" si="2"/>
        <v>0</v>
      </c>
      <c r="E67" s="1">
        <f t="shared" si="3"/>
        <v>4.9660000000000002</v>
      </c>
    </row>
    <row r="68" spans="3:5" x14ac:dyDescent="0.25">
      <c r="C68" s="2">
        <f t="shared" si="2"/>
        <v>0</v>
      </c>
      <c r="E68" s="1"/>
    </row>
    <row r="69" spans="3:5" x14ac:dyDescent="0.25">
      <c r="C69" s="2">
        <f t="shared" si="2"/>
        <v>0</v>
      </c>
      <c r="E69" s="1"/>
    </row>
    <row r="70" spans="3:5" x14ac:dyDescent="0.25">
      <c r="C70" s="2">
        <f t="shared" si="2"/>
        <v>0</v>
      </c>
      <c r="E70" s="1"/>
    </row>
    <row r="71" spans="3:5" x14ac:dyDescent="0.25">
      <c r="E71" s="1"/>
    </row>
    <row r="72" spans="3:5" x14ac:dyDescent="0.25">
      <c r="E72" s="1"/>
    </row>
    <row r="73" spans="3:5" x14ac:dyDescent="0.25">
      <c r="E73" s="1"/>
    </row>
    <row r="74" spans="3:5" x14ac:dyDescent="0.25">
      <c r="E74" s="1"/>
    </row>
    <row r="75" spans="3:5" x14ac:dyDescent="0.25">
      <c r="E75" s="1"/>
    </row>
    <row r="76" spans="3:5" x14ac:dyDescent="0.25">
      <c r="E76" s="1"/>
    </row>
    <row r="77" spans="3:5" x14ac:dyDescent="0.25">
      <c r="E77" s="1"/>
    </row>
    <row r="78" spans="3:5" x14ac:dyDescent="0.25">
      <c r="E78" s="1"/>
    </row>
    <row r="79" spans="3:5" x14ac:dyDescent="0.25">
      <c r="E79" s="1"/>
    </row>
    <row r="80" spans="3:5" x14ac:dyDescent="0.25">
      <c r="E80" s="1"/>
    </row>
    <row r="81" spans="5:5" x14ac:dyDescent="0.25">
      <c r="E81" s="1"/>
    </row>
    <row r="82" spans="5:5" x14ac:dyDescent="0.25">
      <c r="E82" s="1"/>
    </row>
    <row r="83" spans="5:5" x14ac:dyDescent="0.25">
      <c r="E83" s="1"/>
    </row>
    <row r="84" spans="5:5" x14ac:dyDescent="0.25">
      <c r="E84" s="1"/>
    </row>
    <row r="85" spans="5:5" x14ac:dyDescent="0.25">
      <c r="E85" s="1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72487-A542-4946-977A-57136B1CF29C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F1A79-D926-403B-B64F-B0CBEC0807B5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FC574-8CE7-4503-A026-62661B9C392F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6154C-74A2-4993-8D85-902C7630FA32}">
  <sheetPr codeName="Sheet5"/>
  <dimension ref="A1:H50"/>
  <sheetViews>
    <sheetView workbookViewId="0">
      <selection activeCell="B19" sqref="B19"/>
    </sheetView>
  </sheetViews>
  <sheetFormatPr defaultRowHeight="15" x14ac:dyDescent="0.25"/>
  <cols>
    <col min="3" max="3" width="37.42578125" customWidth="1"/>
    <col min="4" max="4" width="18.140625" customWidth="1"/>
    <col min="5" max="5" width="58.28515625" customWidth="1"/>
  </cols>
  <sheetData>
    <row r="1" spans="1:8" ht="21" x14ac:dyDescent="0.35">
      <c r="H1" s="5" t="s">
        <v>0</v>
      </c>
    </row>
    <row r="2" spans="1:8" x14ac:dyDescent="0.25">
      <c r="A2" s="6" t="s">
        <v>1</v>
      </c>
      <c r="B2" s="6" t="s">
        <v>2</v>
      </c>
      <c r="C2" s="6" t="s">
        <v>3</v>
      </c>
      <c r="D2" s="6" t="s">
        <v>4</v>
      </c>
      <c r="E2" s="6" t="s">
        <v>5</v>
      </c>
    </row>
    <row r="3" spans="1:8" x14ac:dyDescent="0.25">
      <c r="A3" t="s">
        <v>6</v>
      </c>
      <c r="C3" t="s">
        <v>7</v>
      </c>
      <c r="D3" s="2">
        <v>100000000000</v>
      </c>
      <c r="E3" t="s">
        <v>8</v>
      </c>
    </row>
    <row r="4" spans="1:8" x14ac:dyDescent="0.25">
      <c r="A4" t="s">
        <v>9</v>
      </c>
      <c r="C4" t="s">
        <v>10</v>
      </c>
      <c r="D4" s="2">
        <v>400000000000</v>
      </c>
      <c r="E4" t="s">
        <v>11</v>
      </c>
    </row>
    <row r="5" spans="1:8" x14ac:dyDescent="0.25">
      <c r="A5" t="s">
        <v>12</v>
      </c>
      <c r="C5" t="s">
        <v>13</v>
      </c>
      <c r="D5" s="2">
        <v>100000000</v>
      </c>
    </row>
    <row r="6" spans="1:8" x14ac:dyDescent="0.25">
      <c r="A6" t="s">
        <v>14</v>
      </c>
      <c r="C6" t="s">
        <v>15</v>
      </c>
      <c r="D6" s="2">
        <v>500000</v>
      </c>
    </row>
    <row r="7" spans="1:8" x14ac:dyDescent="0.25">
      <c r="A7" t="s">
        <v>16</v>
      </c>
      <c r="C7" t="s">
        <v>17</v>
      </c>
      <c r="D7" s="2">
        <v>40000000000</v>
      </c>
      <c r="E7" t="s">
        <v>18</v>
      </c>
    </row>
    <row r="8" spans="1:8" x14ac:dyDescent="0.25">
      <c r="A8" t="s">
        <v>19</v>
      </c>
      <c r="C8" t="s">
        <v>20</v>
      </c>
      <c r="D8" s="2">
        <v>250000</v>
      </c>
      <c r="E8" t="s">
        <v>65</v>
      </c>
    </row>
    <row r="9" spans="1:8" x14ac:dyDescent="0.25">
      <c r="A9" t="s">
        <v>21</v>
      </c>
      <c r="C9" t="s">
        <v>22</v>
      </c>
      <c r="D9" s="2">
        <f>250000*4</f>
        <v>1000000</v>
      </c>
      <c r="E9" t="s">
        <v>66</v>
      </c>
    </row>
    <row r="10" spans="1:8" x14ac:dyDescent="0.25">
      <c r="A10" t="s">
        <v>23</v>
      </c>
      <c r="C10" t="s">
        <v>24</v>
      </c>
      <c r="D10" s="2">
        <v>50000000000</v>
      </c>
      <c r="E10" t="s">
        <v>76</v>
      </c>
    </row>
    <row r="11" spans="1:8" x14ac:dyDescent="0.25">
      <c r="A11" t="s">
        <v>25</v>
      </c>
      <c r="C11" t="s">
        <v>26</v>
      </c>
      <c r="D11" s="2">
        <v>1000000</v>
      </c>
      <c r="E11" t="s">
        <v>74</v>
      </c>
    </row>
    <row r="12" spans="1:8" x14ac:dyDescent="0.25">
      <c r="A12" t="s">
        <v>27</v>
      </c>
      <c r="C12" t="s">
        <v>28</v>
      </c>
      <c r="D12" s="2">
        <v>100000000000</v>
      </c>
    </row>
    <row r="13" spans="1:8" x14ac:dyDescent="0.25">
      <c r="A13" t="s">
        <v>29</v>
      </c>
      <c r="C13" t="s">
        <v>30</v>
      </c>
      <c r="D13" s="2">
        <v>800000000000</v>
      </c>
    </row>
    <row r="14" spans="1:8" x14ac:dyDescent="0.25">
      <c r="A14" t="s">
        <v>31</v>
      </c>
      <c r="C14" t="s">
        <v>32</v>
      </c>
      <c r="D14" s="2">
        <v>5000000</v>
      </c>
    </row>
    <row r="15" spans="1:8" x14ac:dyDescent="0.25">
      <c r="A15" t="s">
        <v>33</v>
      </c>
      <c r="C15" t="s">
        <v>34</v>
      </c>
      <c r="D15" s="2">
        <v>500000000000</v>
      </c>
    </row>
    <row r="16" spans="1:8" x14ac:dyDescent="0.25">
      <c r="A16" t="s">
        <v>35</v>
      </c>
      <c r="C16" t="s">
        <v>36</v>
      </c>
      <c r="D16" s="2">
        <v>50000000</v>
      </c>
      <c r="E16" t="s">
        <v>64</v>
      </c>
    </row>
    <row r="17" spans="1:4" x14ac:dyDescent="0.25">
      <c r="A17" t="s">
        <v>37</v>
      </c>
      <c r="C17" t="s">
        <v>38</v>
      </c>
      <c r="D17" s="2">
        <v>200000000</v>
      </c>
    </row>
    <row r="18" spans="1:4" x14ac:dyDescent="0.25">
      <c r="A18" t="s">
        <v>39</v>
      </c>
      <c r="C18" t="s">
        <v>75</v>
      </c>
      <c r="D18" s="2">
        <v>500000000000</v>
      </c>
    </row>
    <row r="19" spans="1:4" x14ac:dyDescent="0.25">
      <c r="A19" t="s">
        <v>40</v>
      </c>
      <c r="D19" s="2"/>
    </row>
    <row r="20" spans="1:4" x14ac:dyDescent="0.25">
      <c r="A20" t="s">
        <v>41</v>
      </c>
      <c r="D20" s="2"/>
    </row>
    <row r="21" spans="1:4" x14ac:dyDescent="0.25">
      <c r="A21" t="s">
        <v>42</v>
      </c>
      <c r="D21" s="2"/>
    </row>
    <row r="22" spans="1:4" x14ac:dyDescent="0.25">
      <c r="A22" t="s">
        <v>43</v>
      </c>
      <c r="D22" s="2"/>
    </row>
    <row r="23" spans="1:4" x14ac:dyDescent="0.25">
      <c r="A23" t="s">
        <v>44</v>
      </c>
      <c r="D23" s="2"/>
    </row>
    <row r="24" spans="1:4" x14ac:dyDescent="0.25">
      <c r="A24" t="s">
        <v>45</v>
      </c>
      <c r="D24" s="2"/>
    </row>
    <row r="25" spans="1:4" x14ac:dyDescent="0.25">
      <c r="A25" t="s">
        <v>46</v>
      </c>
      <c r="D25" s="2"/>
    </row>
    <row r="26" spans="1:4" x14ac:dyDescent="0.25">
      <c r="A26" t="s">
        <v>47</v>
      </c>
      <c r="D26" s="2"/>
    </row>
    <row r="27" spans="1:4" x14ac:dyDescent="0.25">
      <c r="A27" t="s">
        <v>48</v>
      </c>
      <c r="D27" s="2"/>
    </row>
    <row r="28" spans="1:4" x14ac:dyDescent="0.25">
      <c r="A28" t="s">
        <v>49</v>
      </c>
      <c r="D28" s="2"/>
    </row>
    <row r="29" spans="1:4" x14ac:dyDescent="0.25">
      <c r="A29" t="s">
        <v>50</v>
      </c>
      <c r="D29" s="2"/>
    </row>
    <row r="30" spans="1:4" x14ac:dyDescent="0.25">
      <c r="A30" t="s">
        <v>51</v>
      </c>
      <c r="D30" s="2"/>
    </row>
    <row r="31" spans="1:4" x14ac:dyDescent="0.25">
      <c r="A31" t="s">
        <v>52</v>
      </c>
      <c r="D31" s="2"/>
    </row>
    <row r="32" spans="1:4" x14ac:dyDescent="0.25">
      <c r="A32" t="s">
        <v>53</v>
      </c>
      <c r="D32" s="2"/>
    </row>
    <row r="33" spans="1:4" x14ac:dyDescent="0.25">
      <c r="A33" t="s">
        <v>54</v>
      </c>
      <c r="D33" s="2"/>
    </row>
    <row r="34" spans="1:4" x14ac:dyDescent="0.25">
      <c r="A34" t="s">
        <v>55</v>
      </c>
      <c r="D34" s="2"/>
    </row>
    <row r="35" spans="1:4" x14ac:dyDescent="0.25">
      <c r="A35" t="s">
        <v>56</v>
      </c>
      <c r="D35" s="2"/>
    </row>
    <row r="36" spans="1:4" x14ac:dyDescent="0.25">
      <c r="A36" t="s">
        <v>57</v>
      </c>
      <c r="D36" s="2"/>
    </row>
    <row r="37" spans="1:4" x14ac:dyDescent="0.25">
      <c r="A37" t="s">
        <v>58</v>
      </c>
      <c r="D37" s="2"/>
    </row>
    <row r="38" spans="1:4" x14ac:dyDescent="0.25">
      <c r="A38" t="s">
        <v>59</v>
      </c>
      <c r="D38" s="2"/>
    </row>
    <row r="39" spans="1:4" x14ac:dyDescent="0.25">
      <c r="D39" s="2"/>
    </row>
    <row r="40" spans="1:4" x14ac:dyDescent="0.25">
      <c r="D40" s="2"/>
    </row>
    <row r="41" spans="1:4" x14ac:dyDescent="0.25">
      <c r="D41" s="2"/>
    </row>
    <row r="42" spans="1:4" x14ac:dyDescent="0.25">
      <c r="D42" s="2"/>
    </row>
    <row r="43" spans="1:4" x14ac:dyDescent="0.25">
      <c r="D43" s="2"/>
    </row>
    <row r="44" spans="1:4" x14ac:dyDescent="0.25">
      <c r="D44" s="2"/>
    </row>
    <row r="45" spans="1:4" x14ac:dyDescent="0.25">
      <c r="D45" s="2"/>
    </row>
    <row r="46" spans="1:4" x14ac:dyDescent="0.25">
      <c r="D46" s="2"/>
    </row>
    <row r="47" spans="1:4" x14ac:dyDescent="0.25">
      <c r="D47" s="2"/>
    </row>
    <row r="48" spans="1:4" x14ac:dyDescent="0.25">
      <c r="D48" s="2"/>
    </row>
    <row r="49" spans="4:4" x14ac:dyDescent="0.25">
      <c r="D49" s="2"/>
    </row>
    <row r="50" spans="4:4" x14ac:dyDescent="0.25">
      <c r="D50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1E237-B394-4E80-9088-FE1D8B264D5E}">
  <sheetPr codeName="Sheet10"/>
  <dimension ref="A2:Z81"/>
  <sheetViews>
    <sheetView tabSelected="1" workbookViewId="0">
      <selection activeCell="A23" sqref="A23"/>
    </sheetView>
  </sheetViews>
  <sheetFormatPr defaultRowHeight="15" x14ac:dyDescent="0.25"/>
  <cols>
    <col min="1" max="1" width="20.85546875" customWidth="1"/>
  </cols>
  <sheetData>
    <row r="2" spans="1:26" x14ac:dyDescent="0.25">
      <c r="A2" s="6" t="s">
        <v>60</v>
      </c>
      <c r="B2" s="6" t="s">
        <v>61</v>
      </c>
      <c r="C2" s="6" t="s">
        <v>1</v>
      </c>
      <c r="D2" s="6" t="s">
        <v>62</v>
      </c>
    </row>
    <row r="3" spans="1:26" x14ac:dyDescent="0.25">
      <c r="A3" s="10" cm="1">
        <f t="array" ref="A3">NowStatic()</f>
        <v>45259.826261574075</v>
      </c>
      <c r="B3" t="s">
        <v>63</v>
      </c>
      <c r="C3" t="s">
        <v>6</v>
      </c>
      <c r="D3">
        <v>1</v>
      </c>
    </row>
    <row r="4" spans="1:26" x14ac:dyDescent="0.25">
      <c r="A4" s="10" cm="1">
        <f t="array" ref="A4">NowStatic()</f>
        <v>45259.826261574075</v>
      </c>
      <c r="B4" t="s">
        <v>63</v>
      </c>
      <c r="C4" t="s">
        <v>12</v>
      </c>
      <c r="D4">
        <v>1</v>
      </c>
    </row>
    <row r="5" spans="1:26" x14ac:dyDescent="0.25">
      <c r="A5" s="10" cm="1">
        <f t="array" ref="A5">NowStatic()</f>
        <v>45259.826261574075</v>
      </c>
      <c r="B5" t="s">
        <v>63</v>
      </c>
      <c r="Z5">
        <f ca="1">IF(A4="",INDEX($A:$A,MATCH("*",$A:$A,-1))+1,NOW())</f>
        <v>45259.943646180553</v>
      </c>
    </row>
    <row r="6" spans="1:26" x14ac:dyDescent="0.25">
      <c r="A6" s="10" cm="1">
        <f t="array" ref="A6">NowStatic()</f>
        <v>45259.826261574075</v>
      </c>
    </row>
    <row r="7" spans="1:26" x14ac:dyDescent="0.25">
      <c r="A7" s="10" cm="1">
        <f t="array" ref="A7">NowStatic()</f>
        <v>45259.826261574075</v>
      </c>
    </row>
    <row r="8" spans="1:26" x14ac:dyDescent="0.25">
      <c r="A8" s="10" cm="1">
        <f t="array" ref="A8">NowStatic()</f>
        <v>45259.826261574075</v>
      </c>
    </row>
    <row r="9" spans="1:26" x14ac:dyDescent="0.25">
      <c r="A9" s="10" cm="1">
        <f t="array" ref="A9">NowStatic()</f>
        <v>45259.826261574075</v>
      </c>
    </row>
    <row r="10" spans="1:26" x14ac:dyDescent="0.25">
      <c r="A10" s="10" cm="1">
        <f t="array" ref="A10">NowStatic()</f>
        <v>45259.825914351852</v>
      </c>
    </row>
    <row r="11" spans="1:26" x14ac:dyDescent="0.25">
      <c r="A11" s="10" cm="1">
        <f t="array" ref="A11">NowStatic()</f>
        <v>45259.827326388891</v>
      </c>
    </row>
    <row r="12" spans="1:26" x14ac:dyDescent="0.25">
      <c r="A12" s="10" cm="1">
        <f t="array" ref="A12">NowStatic()</f>
        <v>45259.836504629631</v>
      </c>
    </row>
    <row r="13" spans="1:26" x14ac:dyDescent="0.25">
      <c r="A13" s="10" cm="1">
        <f t="array" ref="A13">NowStatic()</f>
        <v>45259.83666666667</v>
      </c>
    </row>
    <row r="14" spans="1:26" x14ac:dyDescent="0.25">
      <c r="A14" s="10" cm="1">
        <f t="array" ref="A14">NowStatic()</f>
        <v>45259.836631944447</v>
      </c>
    </row>
    <row r="15" spans="1:26" x14ac:dyDescent="0.25">
      <c r="A15" s="10" cm="1">
        <f t="array" ref="A15">NowStatic()</f>
        <v>45259.943645833337</v>
      </c>
    </row>
    <row r="16" spans="1:26" x14ac:dyDescent="0.25">
      <c r="A16" s="10"/>
    </row>
    <row r="17" spans="1:1" x14ac:dyDescent="0.25">
      <c r="A17" s="10"/>
    </row>
    <row r="18" spans="1:1" x14ac:dyDescent="0.25">
      <c r="A18" s="10"/>
    </row>
    <row r="19" spans="1:1" x14ac:dyDescent="0.25">
      <c r="A19" s="10"/>
    </row>
    <row r="20" spans="1:1" x14ac:dyDescent="0.25">
      <c r="A20" s="10"/>
    </row>
    <row r="21" spans="1:1" x14ac:dyDescent="0.25">
      <c r="A21" s="10"/>
    </row>
    <row r="22" spans="1:1" x14ac:dyDescent="0.25">
      <c r="A22" s="10"/>
    </row>
    <row r="23" spans="1:1" x14ac:dyDescent="0.25">
      <c r="A23" s="10"/>
    </row>
    <row r="24" spans="1:1" x14ac:dyDescent="0.25">
      <c r="A24" s="10"/>
    </row>
    <row r="25" spans="1:1" x14ac:dyDescent="0.25">
      <c r="A25" s="10"/>
    </row>
    <row r="26" spans="1:1" x14ac:dyDescent="0.25">
      <c r="A26" s="10"/>
    </row>
    <row r="27" spans="1:1" x14ac:dyDescent="0.25">
      <c r="A27" s="10"/>
    </row>
    <row r="28" spans="1:1" x14ac:dyDescent="0.25">
      <c r="A28" s="10"/>
    </row>
    <row r="29" spans="1:1" x14ac:dyDescent="0.25">
      <c r="A29" s="10"/>
    </row>
    <row r="30" spans="1:1" x14ac:dyDescent="0.25">
      <c r="A30" s="10"/>
    </row>
    <row r="31" spans="1:1" x14ac:dyDescent="0.25">
      <c r="A31" s="10"/>
    </row>
    <row r="32" spans="1:1" x14ac:dyDescent="0.25">
      <c r="A32" s="10"/>
    </row>
    <row r="33" spans="1:1" x14ac:dyDescent="0.25">
      <c r="A33" s="10"/>
    </row>
    <row r="34" spans="1:1" x14ac:dyDescent="0.25">
      <c r="A34" s="10"/>
    </row>
    <row r="35" spans="1:1" x14ac:dyDescent="0.25">
      <c r="A35" s="10"/>
    </row>
    <row r="36" spans="1:1" x14ac:dyDescent="0.25">
      <c r="A36" s="10"/>
    </row>
    <row r="37" spans="1:1" x14ac:dyDescent="0.25">
      <c r="A37" s="10"/>
    </row>
    <row r="38" spans="1:1" x14ac:dyDescent="0.25">
      <c r="A38" s="10"/>
    </row>
    <row r="39" spans="1:1" x14ac:dyDescent="0.25">
      <c r="A39" s="10"/>
    </row>
    <row r="40" spans="1:1" x14ac:dyDescent="0.25">
      <c r="A40" s="10"/>
    </row>
    <row r="41" spans="1:1" x14ac:dyDescent="0.25">
      <c r="A41" s="10"/>
    </row>
    <row r="42" spans="1:1" x14ac:dyDescent="0.25">
      <c r="A42" s="10"/>
    </row>
    <row r="43" spans="1:1" x14ac:dyDescent="0.25">
      <c r="A43" s="10"/>
    </row>
    <row r="44" spans="1:1" x14ac:dyDescent="0.25">
      <c r="A44" s="10"/>
    </row>
    <row r="45" spans="1:1" x14ac:dyDescent="0.25">
      <c r="A45" s="10"/>
    </row>
    <row r="46" spans="1:1" x14ac:dyDescent="0.25">
      <c r="A46" s="10"/>
    </row>
    <row r="47" spans="1:1" x14ac:dyDescent="0.25">
      <c r="A47" s="10"/>
    </row>
    <row r="48" spans="1:1" x14ac:dyDescent="0.25">
      <c r="A48" s="10"/>
    </row>
    <row r="49" spans="1:1" x14ac:dyDescent="0.25">
      <c r="A49" s="10"/>
    </row>
    <row r="50" spans="1:1" x14ac:dyDescent="0.25">
      <c r="A50" s="10"/>
    </row>
    <row r="51" spans="1:1" x14ac:dyDescent="0.25">
      <c r="A51" s="10"/>
    </row>
    <row r="52" spans="1:1" x14ac:dyDescent="0.25">
      <c r="A52" s="10"/>
    </row>
    <row r="53" spans="1:1" x14ac:dyDescent="0.25">
      <c r="A53" s="10"/>
    </row>
    <row r="54" spans="1:1" x14ac:dyDescent="0.25">
      <c r="A54" s="10"/>
    </row>
    <row r="55" spans="1:1" x14ac:dyDescent="0.25">
      <c r="A55" s="10"/>
    </row>
    <row r="56" spans="1:1" x14ac:dyDescent="0.25">
      <c r="A56" s="10"/>
    </row>
    <row r="57" spans="1:1" x14ac:dyDescent="0.25">
      <c r="A57" s="10"/>
    </row>
    <row r="58" spans="1:1" x14ac:dyDescent="0.25">
      <c r="A58" s="10"/>
    </row>
    <row r="59" spans="1:1" x14ac:dyDescent="0.25">
      <c r="A59" s="10"/>
    </row>
    <row r="60" spans="1:1" x14ac:dyDescent="0.25">
      <c r="A60" s="9"/>
    </row>
    <row r="61" spans="1:1" x14ac:dyDescent="0.25">
      <c r="A61" s="9"/>
    </row>
    <row r="62" spans="1:1" x14ac:dyDescent="0.25">
      <c r="A62" s="9"/>
    </row>
    <row r="63" spans="1:1" x14ac:dyDescent="0.25">
      <c r="A63" s="9"/>
    </row>
    <row r="64" spans="1:1" x14ac:dyDescent="0.25">
      <c r="A64" s="9"/>
    </row>
    <row r="65" spans="1:1" x14ac:dyDescent="0.25">
      <c r="A65" s="9"/>
    </row>
    <row r="66" spans="1:1" x14ac:dyDescent="0.25">
      <c r="A66" s="9"/>
    </row>
    <row r="67" spans="1:1" x14ac:dyDescent="0.25">
      <c r="A67" s="9"/>
    </row>
    <row r="68" spans="1:1" x14ac:dyDescent="0.25">
      <c r="A68" s="9"/>
    </row>
    <row r="69" spans="1:1" x14ac:dyDescent="0.25">
      <c r="A69" s="9"/>
    </row>
    <row r="70" spans="1:1" x14ac:dyDescent="0.25">
      <c r="A70" s="9"/>
    </row>
    <row r="71" spans="1:1" x14ac:dyDescent="0.25">
      <c r="A71" s="9"/>
    </row>
    <row r="72" spans="1:1" x14ac:dyDescent="0.25">
      <c r="A72" s="9"/>
    </row>
    <row r="73" spans="1:1" x14ac:dyDescent="0.25">
      <c r="A73" s="9"/>
    </row>
    <row r="74" spans="1:1" x14ac:dyDescent="0.25">
      <c r="A74" s="9"/>
    </row>
    <row r="75" spans="1:1" x14ac:dyDescent="0.25">
      <c r="A75" s="9"/>
    </row>
    <row r="76" spans="1:1" x14ac:dyDescent="0.25">
      <c r="A76" s="9"/>
    </row>
    <row r="77" spans="1:1" x14ac:dyDescent="0.25">
      <c r="A77" s="9"/>
    </row>
    <row r="78" spans="1:1" x14ac:dyDescent="0.25">
      <c r="A78" s="9"/>
    </row>
    <row r="79" spans="1:1" x14ac:dyDescent="0.25">
      <c r="A79" s="9"/>
    </row>
    <row r="80" spans="1:1" x14ac:dyDescent="0.25">
      <c r="A80" s="9"/>
    </row>
    <row r="81" spans="1:1" x14ac:dyDescent="0.25">
      <c r="A81" s="9"/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A755E-9709-4A80-B35C-862174A1124D}">
  <sheetPr codeName="Sheet12"/>
  <dimension ref="A1:K36"/>
  <sheetViews>
    <sheetView workbookViewId="0">
      <selection activeCell="J34" sqref="J34"/>
    </sheetView>
  </sheetViews>
  <sheetFormatPr defaultRowHeight="15" x14ac:dyDescent="0.25"/>
  <sheetData>
    <row r="1" spans="1:11" x14ac:dyDescent="0.25">
      <c r="I1" s="4">
        <v>2.5000000000000001E-2</v>
      </c>
      <c r="J1" s="4">
        <v>40</v>
      </c>
    </row>
    <row r="2" spans="1:11" x14ac:dyDescent="0.25">
      <c r="A2" s="6" t="s">
        <v>60</v>
      </c>
      <c r="B2" s="6" t="s">
        <v>67</v>
      </c>
      <c r="F2" s="6" t="s">
        <v>73</v>
      </c>
      <c r="I2" s="4"/>
      <c r="J2" s="4"/>
    </row>
    <row r="3" spans="1:11" x14ac:dyDescent="0.25">
      <c r="B3">
        <v>50</v>
      </c>
      <c r="C3">
        <v>40</v>
      </c>
      <c r="D3">
        <f t="shared" ref="D3:D36" si="0">QUOTIENT(B3, $J$1)-1</f>
        <v>0</v>
      </c>
      <c r="E3">
        <f>MOD(B3,$J$1)</f>
        <v>10</v>
      </c>
      <c r="F3">
        <f t="shared" ref="F3:F36" si="1">$I$1*POWER(2,D3)</f>
        <v>2.5000000000000001E-2</v>
      </c>
      <c r="H3">
        <f>SUMIF($B$3:B3,"&gt;80")</f>
        <v>0</v>
      </c>
      <c r="J3">
        <f>QUOTIENT(B3,$J$1)</f>
        <v>1</v>
      </c>
    </row>
    <row r="4" spans="1:11" x14ac:dyDescent="0.25">
      <c r="B4">
        <v>79</v>
      </c>
      <c r="D4">
        <f t="shared" si="0"/>
        <v>0</v>
      </c>
      <c r="F4">
        <f t="shared" si="1"/>
        <v>2.5000000000000001E-2</v>
      </c>
      <c r="G4">
        <f t="shared" ref="G4:G36" si="2">MOD(B4,$J$1)*F4+POWER(2,D4)-2</f>
        <v>-2.4999999999999911E-2</v>
      </c>
      <c r="H4">
        <f>SUMIF($B$3:B4,"&gt;80")</f>
        <v>0</v>
      </c>
      <c r="I4">
        <f>SUMIF(B3:B4,"&gt;80")</f>
        <v>0</v>
      </c>
      <c r="J4">
        <f>QUOTIENT(B4,$J$1)</f>
        <v>1</v>
      </c>
    </row>
    <row r="5" spans="1:11" x14ac:dyDescent="0.25">
      <c r="B5">
        <v>80</v>
      </c>
      <c r="D5">
        <f t="shared" si="0"/>
        <v>1</v>
      </c>
      <c r="F5">
        <f t="shared" si="1"/>
        <v>0.05</v>
      </c>
      <c r="G5">
        <f t="shared" si="2"/>
        <v>0</v>
      </c>
      <c r="H5">
        <f>SUMIF($B$3:B5,"&gt;80")</f>
        <v>0</v>
      </c>
      <c r="I5">
        <f>SUMIF($B3:B5,"&gt;80")</f>
        <v>0</v>
      </c>
      <c r="J5">
        <f>QUOTIENT(B5,$J$1)</f>
        <v>2</v>
      </c>
    </row>
    <row r="6" spans="1:11" x14ac:dyDescent="0.25">
      <c r="B6">
        <v>81</v>
      </c>
      <c r="D6">
        <f t="shared" si="0"/>
        <v>1</v>
      </c>
      <c r="F6">
        <f t="shared" si="1"/>
        <v>0.05</v>
      </c>
      <c r="G6">
        <f t="shared" si="2"/>
        <v>4.9999999999999822E-2</v>
      </c>
      <c r="H6">
        <f>SUMIF($B$3:B6,"&gt;80")</f>
        <v>81</v>
      </c>
      <c r="I6">
        <f>SUMIF($B$3:B6,"&gt;80")</f>
        <v>81</v>
      </c>
      <c r="J6">
        <f t="shared" ref="J6:J36" si="3">MOD(B6, $J$1)*$I$1*POWER(2,QUOTIENT(B6,$J$1)-1) + POWER(2,QUOTIENT(B6, $J$1)-1)-2</f>
        <v>4.9999999999999822E-2</v>
      </c>
      <c r="K6">
        <f t="shared" ref="K6:K16" si="4">MOD(B6,$J$1)*$I$1*POWER(2,D6)+POWER(2,D6)-2</f>
        <v>4.9999999999999822E-2</v>
      </c>
    </row>
    <row r="7" spans="1:11" x14ac:dyDescent="0.25">
      <c r="B7">
        <v>88</v>
      </c>
      <c r="D7">
        <f t="shared" si="0"/>
        <v>1</v>
      </c>
      <c r="F7">
        <f t="shared" si="1"/>
        <v>0.05</v>
      </c>
      <c r="G7">
        <f t="shared" si="2"/>
        <v>0.39999999999999991</v>
      </c>
      <c r="I7">
        <f>SUMIF($B$3:B7,"&gt;80")</f>
        <v>169</v>
      </c>
      <c r="J7">
        <f t="shared" si="3"/>
        <v>0.39999999999999991</v>
      </c>
      <c r="K7">
        <f t="shared" si="4"/>
        <v>0.39999999999999991</v>
      </c>
    </row>
    <row r="8" spans="1:11" x14ac:dyDescent="0.25">
      <c r="B8">
        <v>90</v>
      </c>
      <c r="D8">
        <f t="shared" si="0"/>
        <v>1</v>
      </c>
      <c r="F8">
        <f t="shared" si="1"/>
        <v>0.05</v>
      </c>
      <c r="G8">
        <f t="shared" si="2"/>
        <v>0.5</v>
      </c>
      <c r="I8">
        <f>SUMIF($B$3:B8,"&gt;80")</f>
        <v>259</v>
      </c>
      <c r="J8">
        <f t="shared" si="3"/>
        <v>0.5</v>
      </c>
      <c r="K8">
        <f t="shared" si="4"/>
        <v>0.5</v>
      </c>
    </row>
    <row r="9" spans="1:11" x14ac:dyDescent="0.25">
      <c r="B9">
        <v>100</v>
      </c>
      <c r="D9">
        <f t="shared" si="0"/>
        <v>1</v>
      </c>
      <c r="F9">
        <f t="shared" si="1"/>
        <v>0.05</v>
      </c>
      <c r="G9">
        <f t="shared" si="2"/>
        <v>1</v>
      </c>
      <c r="J9">
        <f t="shared" si="3"/>
        <v>1</v>
      </c>
      <c r="K9">
        <f t="shared" si="4"/>
        <v>1</v>
      </c>
    </row>
    <row r="10" spans="1:11" x14ac:dyDescent="0.25">
      <c r="B10">
        <v>119</v>
      </c>
      <c r="D10">
        <f t="shared" si="0"/>
        <v>1</v>
      </c>
      <c r="F10">
        <f t="shared" si="1"/>
        <v>0.05</v>
      </c>
      <c r="G10">
        <f t="shared" si="2"/>
        <v>1.9500000000000002</v>
      </c>
      <c r="J10">
        <f t="shared" si="3"/>
        <v>1.9500000000000002</v>
      </c>
      <c r="K10">
        <f t="shared" si="4"/>
        <v>1.9500000000000002</v>
      </c>
    </row>
    <row r="11" spans="1:11" x14ac:dyDescent="0.25">
      <c r="B11">
        <v>120</v>
      </c>
      <c r="D11">
        <f t="shared" si="0"/>
        <v>2</v>
      </c>
      <c r="F11">
        <f t="shared" si="1"/>
        <v>0.1</v>
      </c>
      <c r="G11">
        <f t="shared" si="2"/>
        <v>2</v>
      </c>
      <c r="J11">
        <f t="shared" si="3"/>
        <v>2</v>
      </c>
      <c r="K11">
        <f t="shared" si="4"/>
        <v>2</v>
      </c>
    </row>
    <row r="12" spans="1:11" x14ac:dyDescent="0.25">
      <c r="B12">
        <v>121</v>
      </c>
      <c r="D12">
        <f t="shared" si="0"/>
        <v>2</v>
      </c>
      <c r="F12">
        <f t="shared" si="1"/>
        <v>0.1</v>
      </c>
      <c r="G12">
        <f t="shared" si="2"/>
        <v>2.0999999999999996</v>
      </c>
      <c r="J12">
        <f t="shared" si="3"/>
        <v>2.0999999999999996</v>
      </c>
      <c r="K12">
        <f t="shared" si="4"/>
        <v>2.0999999999999996</v>
      </c>
    </row>
    <row r="13" spans="1:11" x14ac:dyDescent="0.25">
      <c r="B13">
        <v>122</v>
      </c>
      <c r="D13">
        <f t="shared" si="0"/>
        <v>2</v>
      </c>
      <c r="F13">
        <f t="shared" si="1"/>
        <v>0.1</v>
      </c>
      <c r="G13">
        <f t="shared" si="2"/>
        <v>2.2000000000000002</v>
      </c>
      <c r="J13">
        <f t="shared" si="3"/>
        <v>2.2000000000000002</v>
      </c>
      <c r="K13">
        <f t="shared" si="4"/>
        <v>2.2000000000000002</v>
      </c>
    </row>
    <row r="14" spans="1:11" x14ac:dyDescent="0.25">
      <c r="B14">
        <v>123</v>
      </c>
      <c r="D14">
        <f t="shared" si="0"/>
        <v>2</v>
      </c>
      <c r="F14">
        <f t="shared" si="1"/>
        <v>0.1</v>
      </c>
      <c r="G14">
        <f t="shared" si="2"/>
        <v>2.2999999999999998</v>
      </c>
      <c r="J14">
        <f t="shared" si="3"/>
        <v>2.2999999999999998</v>
      </c>
      <c r="K14">
        <f t="shared" si="4"/>
        <v>2.2999999999999998</v>
      </c>
    </row>
    <row r="15" spans="1:11" x14ac:dyDescent="0.25">
      <c r="B15">
        <v>124</v>
      </c>
      <c r="D15">
        <f t="shared" si="0"/>
        <v>2</v>
      </c>
      <c r="F15">
        <f t="shared" si="1"/>
        <v>0.1</v>
      </c>
      <c r="G15">
        <f t="shared" si="2"/>
        <v>2.4000000000000004</v>
      </c>
      <c r="J15">
        <f t="shared" si="3"/>
        <v>2.4000000000000004</v>
      </c>
      <c r="K15">
        <f t="shared" si="4"/>
        <v>2.4000000000000004</v>
      </c>
    </row>
    <row r="16" spans="1:11" x14ac:dyDescent="0.25">
      <c r="B16">
        <v>125</v>
      </c>
      <c r="D16">
        <f t="shared" si="0"/>
        <v>2</v>
      </c>
      <c r="F16">
        <f t="shared" si="1"/>
        <v>0.1</v>
      </c>
      <c r="G16">
        <f t="shared" si="2"/>
        <v>2.5</v>
      </c>
      <c r="J16">
        <f t="shared" si="3"/>
        <v>2.5</v>
      </c>
      <c r="K16">
        <f t="shared" si="4"/>
        <v>2.5</v>
      </c>
    </row>
    <row r="17" spans="2:10" x14ac:dyDescent="0.25">
      <c r="B17">
        <v>126</v>
      </c>
      <c r="D17">
        <f t="shared" si="0"/>
        <v>2</v>
      </c>
      <c r="F17">
        <f t="shared" si="1"/>
        <v>0.1</v>
      </c>
      <c r="G17">
        <f t="shared" si="2"/>
        <v>2.5999999999999996</v>
      </c>
      <c r="J17">
        <f t="shared" si="3"/>
        <v>2.5999999999999996</v>
      </c>
    </row>
    <row r="18" spans="2:10" x14ac:dyDescent="0.25">
      <c r="B18">
        <v>139</v>
      </c>
      <c r="D18">
        <f t="shared" si="0"/>
        <v>2</v>
      </c>
      <c r="F18">
        <f t="shared" si="1"/>
        <v>0.1</v>
      </c>
      <c r="G18">
        <f t="shared" si="2"/>
        <v>3.9000000000000004</v>
      </c>
      <c r="J18">
        <f t="shared" si="3"/>
        <v>3.9000000000000004</v>
      </c>
    </row>
    <row r="19" spans="2:10" x14ac:dyDescent="0.25">
      <c r="B19">
        <v>140</v>
      </c>
      <c r="D19">
        <f t="shared" si="0"/>
        <v>2</v>
      </c>
      <c r="F19">
        <f t="shared" si="1"/>
        <v>0.1</v>
      </c>
      <c r="G19">
        <f t="shared" si="2"/>
        <v>4</v>
      </c>
      <c r="J19">
        <f t="shared" si="3"/>
        <v>4</v>
      </c>
    </row>
    <row r="20" spans="2:10" x14ac:dyDescent="0.25">
      <c r="B20">
        <v>159</v>
      </c>
      <c r="D20">
        <f t="shared" si="0"/>
        <v>2</v>
      </c>
      <c r="F20">
        <f t="shared" si="1"/>
        <v>0.1</v>
      </c>
      <c r="G20">
        <f t="shared" si="2"/>
        <v>5.9</v>
      </c>
      <c r="J20">
        <f t="shared" si="3"/>
        <v>5.9</v>
      </c>
    </row>
    <row r="21" spans="2:10" x14ac:dyDescent="0.25">
      <c r="B21">
        <v>160</v>
      </c>
      <c r="D21">
        <f t="shared" si="0"/>
        <v>3</v>
      </c>
      <c r="F21">
        <f t="shared" si="1"/>
        <v>0.2</v>
      </c>
      <c r="G21">
        <f t="shared" si="2"/>
        <v>6</v>
      </c>
      <c r="J21">
        <f t="shared" si="3"/>
        <v>6</v>
      </c>
    </row>
    <row r="22" spans="2:10" x14ac:dyDescent="0.25">
      <c r="B22">
        <v>161</v>
      </c>
      <c r="D22">
        <f t="shared" si="0"/>
        <v>3</v>
      </c>
      <c r="F22">
        <f t="shared" si="1"/>
        <v>0.2</v>
      </c>
      <c r="G22">
        <f t="shared" si="2"/>
        <v>6.1999999999999993</v>
      </c>
      <c r="J22">
        <f t="shared" si="3"/>
        <v>6.1999999999999993</v>
      </c>
    </row>
    <row r="23" spans="2:10" x14ac:dyDescent="0.25">
      <c r="B23">
        <v>164</v>
      </c>
      <c r="D23">
        <f t="shared" si="0"/>
        <v>3</v>
      </c>
      <c r="F23">
        <f t="shared" si="1"/>
        <v>0.2</v>
      </c>
      <c r="G23">
        <f t="shared" si="2"/>
        <v>6.8000000000000007</v>
      </c>
      <c r="J23">
        <f t="shared" si="3"/>
        <v>6.8000000000000007</v>
      </c>
    </row>
    <row r="24" spans="2:10" x14ac:dyDescent="0.25">
      <c r="B24">
        <v>170</v>
      </c>
      <c r="D24">
        <f t="shared" si="0"/>
        <v>3</v>
      </c>
      <c r="F24">
        <f t="shared" si="1"/>
        <v>0.2</v>
      </c>
      <c r="G24">
        <f t="shared" si="2"/>
        <v>8</v>
      </c>
      <c r="J24">
        <f t="shared" si="3"/>
        <v>8</v>
      </c>
    </row>
    <row r="25" spans="2:10" x14ac:dyDescent="0.25">
      <c r="B25">
        <v>199</v>
      </c>
      <c r="D25">
        <f t="shared" si="0"/>
        <v>3</v>
      </c>
      <c r="F25">
        <f t="shared" si="1"/>
        <v>0.2</v>
      </c>
      <c r="G25">
        <f t="shared" si="2"/>
        <v>13.8</v>
      </c>
      <c r="J25">
        <f t="shared" si="3"/>
        <v>13.8</v>
      </c>
    </row>
    <row r="26" spans="2:10" x14ac:dyDescent="0.25">
      <c r="B26">
        <v>200</v>
      </c>
      <c r="D26">
        <f t="shared" si="0"/>
        <v>4</v>
      </c>
      <c r="F26">
        <f t="shared" si="1"/>
        <v>0.4</v>
      </c>
      <c r="G26">
        <f t="shared" si="2"/>
        <v>14</v>
      </c>
      <c r="J26">
        <f t="shared" si="3"/>
        <v>14</v>
      </c>
    </row>
    <row r="27" spans="2:10" x14ac:dyDescent="0.25">
      <c r="B27">
        <v>201</v>
      </c>
      <c r="D27">
        <f t="shared" si="0"/>
        <v>4</v>
      </c>
      <c r="F27">
        <f t="shared" si="1"/>
        <v>0.4</v>
      </c>
      <c r="G27">
        <f t="shared" si="2"/>
        <v>14.399999999999999</v>
      </c>
      <c r="J27">
        <f t="shared" si="3"/>
        <v>14.399999999999999</v>
      </c>
    </row>
    <row r="28" spans="2:10" x14ac:dyDescent="0.25">
      <c r="B28">
        <v>202</v>
      </c>
      <c r="D28">
        <f t="shared" si="0"/>
        <v>4</v>
      </c>
      <c r="F28">
        <f t="shared" si="1"/>
        <v>0.4</v>
      </c>
      <c r="G28">
        <f t="shared" si="2"/>
        <v>14.8</v>
      </c>
      <c r="J28">
        <f t="shared" si="3"/>
        <v>14.8</v>
      </c>
    </row>
    <row r="29" spans="2:10" x14ac:dyDescent="0.25">
      <c r="B29">
        <v>239</v>
      </c>
      <c r="D29">
        <f t="shared" si="0"/>
        <v>4</v>
      </c>
      <c r="F29">
        <f t="shared" si="1"/>
        <v>0.4</v>
      </c>
      <c r="G29">
        <f t="shared" si="2"/>
        <v>29.6</v>
      </c>
      <c r="J29">
        <f t="shared" si="3"/>
        <v>29.6</v>
      </c>
    </row>
    <row r="30" spans="2:10" x14ac:dyDescent="0.25">
      <c r="B30">
        <v>240</v>
      </c>
      <c r="D30">
        <f t="shared" si="0"/>
        <v>5</v>
      </c>
      <c r="F30">
        <f t="shared" si="1"/>
        <v>0.8</v>
      </c>
      <c r="G30">
        <f t="shared" si="2"/>
        <v>30</v>
      </c>
      <c r="J30">
        <f t="shared" si="3"/>
        <v>30</v>
      </c>
    </row>
    <row r="31" spans="2:10" x14ac:dyDescent="0.25">
      <c r="B31">
        <v>241</v>
      </c>
      <c r="D31">
        <f t="shared" si="0"/>
        <v>5</v>
      </c>
      <c r="F31">
        <f t="shared" si="1"/>
        <v>0.8</v>
      </c>
      <c r="G31">
        <f t="shared" si="2"/>
        <v>30.799999999999997</v>
      </c>
      <c r="J31">
        <f t="shared" si="3"/>
        <v>30.799999999999997</v>
      </c>
    </row>
    <row r="32" spans="2:10" x14ac:dyDescent="0.25">
      <c r="B32">
        <v>259</v>
      </c>
      <c r="D32">
        <f t="shared" si="0"/>
        <v>5</v>
      </c>
      <c r="F32">
        <f t="shared" si="1"/>
        <v>0.8</v>
      </c>
      <c r="G32">
        <f t="shared" si="2"/>
        <v>45.2</v>
      </c>
      <c r="J32">
        <f t="shared" si="3"/>
        <v>45.2</v>
      </c>
    </row>
    <row r="33" spans="2:10" x14ac:dyDescent="0.25">
      <c r="B33">
        <v>260</v>
      </c>
      <c r="D33">
        <f t="shared" si="0"/>
        <v>5</v>
      </c>
      <c r="F33">
        <f t="shared" si="1"/>
        <v>0.8</v>
      </c>
      <c r="G33">
        <f t="shared" si="2"/>
        <v>46</v>
      </c>
      <c r="J33">
        <f t="shared" si="3"/>
        <v>46</v>
      </c>
    </row>
    <row r="34" spans="2:10" x14ac:dyDescent="0.25">
      <c r="B34">
        <v>272</v>
      </c>
      <c r="D34">
        <f t="shared" si="0"/>
        <v>5</v>
      </c>
      <c r="F34">
        <f t="shared" si="1"/>
        <v>0.8</v>
      </c>
      <c r="G34">
        <f t="shared" si="2"/>
        <v>55.6</v>
      </c>
      <c r="J34">
        <f t="shared" si="3"/>
        <v>55.6</v>
      </c>
    </row>
    <row r="35" spans="2:10" x14ac:dyDescent="0.25">
      <c r="B35">
        <v>279</v>
      </c>
      <c r="D35">
        <f t="shared" si="0"/>
        <v>5</v>
      </c>
      <c r="F35">
        <f t="shared" si="1"/>
        <v>0.8</v>
      </c>
      <c r="G35">
        <f t="shared" si="2"/>
        <v>61.2</v>
      </c>
      <c r="J35">
        <f t="shared" si="3"/>
        <v>61.2</v>
      </c>
    </row>
    <row r="36" spans="2:10" x14ac:dyDescent="0.25">
      <c r="B36">
        <v>280</v>
      </c>
      <c r="D36">
        <f t="shared" si="0"/>
        <v>6</v>
      </c>
      <c r="F36">
        <f t="shared" si="1"/>
        <v>1.6</v>
      </c>
      <c r="G36">
        <f t="shared" si="2"/>
        <v>62</v>
      </c>
      <c r="J36">
        <f t="shared" si="3"/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Income</vt:lpstr>
      <vt:lpstr>Sheet1</vt:lpstr>
      <vt:lpstr>Sheet2</vt:lpstr>
      <vt:lpstr>Sheet3</vt:lpstr>
      <vt:lpstr>Catalog</vt:lpstr>
      <vt:lpstr>TTN</vt:lpstr>
      <vt:lpstr>debug_inc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Connor</dc:creator>
  <cp:lastModifiedBy>John Connor</cp:lastModifiedBy>
  <dcterms:created xsi:type="dcterms:W3CDTF">2023-11-27T17:40:53Z</dcterms:created>
  <dcterms:modified xsi:type="dcterms:W3CDTF">2023-11-29T20:38:57Z</dcterms:modified>
</cp:coreProperties>
</file>