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325" yWindow="5520" windowWidth="7035" windowHeight="528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P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rgb="FF525252"/>
      <sz val="10"/>
    </font>
    <font>
      <name val="Calibri"/>
      <charset val="204"/>
      <family val="2"/>
      <color rgb="FF9C65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/>
  </cellStyleXfs>
  <cellXfs count="2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3" applyAlignment="1" pivotButton="0" quotePrefix="0" xfId="0">
      <alignment horizontal="center"/>
    </xf>
    <xf numFmtId="4" fontId="1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2" borderId="0" pivotButton="0" quotePrefix="0" xfId="1"/>
    <xf numFmtId="2" fontId="2" fillId="2" borderId="0" pivotButton="0" quotePrefix="0" xfId="1"/>
    <xf numFmtId="2" fontId="0" fillId="0" borderId="7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right" vertical="center"/>
    </xf>
    <xf numFmtId="0" fontId="0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0" fillId="0" borderId="5" applyAlignment="1" pivotButton="0" quotePrefix="0" xfId="0">
      <alignment horizontal="left"/>
    </xf>
    <xf numFmtId="0" fontId="0" fillId="0" borderId="6" applyAlignment="1" pivotButton="0" quotePrefix="0" xfId="0">
      <alignment horizontal="right"/>
    </xf>
    <xf numFmtId="0" fontId="0" fillId="0" borderId="7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</cellXfs>
  <cellStyles count="2">
    <cellStyle name="Normal" xfId="0" builtinId="0"/>
    <cellStyle name="Neutr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8">
    <outlinePr summaryBelow="1" summaryRight="1"/>
    <pageSetUpPr/>
  </sheetPr>
  <dimension ref="A1:BW37"/>
  <sheetViews>
    <sheetView tabSelected="1" workbookViewId="0">
      <selection activeCell="J16" sqref="J16"/>
    </sheetView>
  </sheetViews>
  <sheetFormatPr baseColWidth="8" defaultRowHeight="15"/>
  <cols>
    <col width="10.140625" bestFit="1" customWidth="1" style="24" min="1" max="1"/>
    <col width="11.140625" customWidth="1" style="24" min="13" max="13"/>
    <col width="9.5703125" bestFit="1" customWidth="1" style="24" min="14" max="14"/>
    <col width="9.5703125" bestFit="1" customWidth="1" style="24" min="16" max="16"/>
  </cols>
  <sheetData>
    <row r="1">
      <c r="E1" t="inlineStr">
        <is>
          <t>.</t>
        </is>
      </c>
      <c r="H1" s="1" t="inlineStr">
        <is>
          <t>SAN</t>
        </is>
      </c>
      <c r="N1" s="1" t="inlineStr">
        <is>
          <t>HEL</t>
        </is>
      </c>
    </row>
    <row r="2">
      <c r="E2" s="2" t="inlineStr">
        <is>
          <t>.</t>
        </is>
      </c>
      <c r="F2" s="3" t="inlineStr">
        <is>
          <t>quarterly income</t>
        </is>
      </c>
      <c r="G2" s="4" t="inlineStr">
        <is>
          <t xml:space="preserve">total inc </t>
        </is>
      </c>
      <c r="H2" s="4" t="inlineStr">
        <is>
          <t xml:space="preserve">total tax </t>
        </is>
      </c>
      <c r="I2" s="4" t="inlineStr">
        <is>
          <t>prev tax</t>
        </is>
      </c>
      <c r="J2" s="5" t="inlineStr">
        <is>
          <t>tax pay</t>
        </is>
      </c>
      <c r="K2" s="4" t="inlineStr">
        <is>
          <t>military</t>
        </is>
      </c>
      <c r="L2" s="4" t="inlineStr">
        <is>
          <t>quarterly income</t>
        </is>
      </c>
      <c r="M2" s="4" t="inlineStr">
        <is>
          <t xml:space="preserve">total inc </t>
        </is>
      </c>
      <c r="N2" s="6" t="inlineStr">
        <is>
          <t xml:space="preserve">total tax </t>
        </is>
      </c>
      <c r="O2" s="4" t="inlineStr">
        <is>
          <t>prev tax</t>
        </is>
      </c>
      <c r="P2" s="5" t="inlineStr">
        <is>
          <t>tax pay</t>
        </is>
      </c>
    </row>
    <row r="3">
      <c r="B3" s="7" t="n">
        <v>9165</v>
      </c>
      <c r="E3" s="8" t="inlineStr">
        <is>
          <t>01_2022</t>
        </is>
      </c>
      <c r="F3" s="9" t="n"/>
      <c r="K3" s="10" t="n"/>
      <c r="P3" s="10" t="n"/>
    </row>
    <row r="4">
      <c r="B4" s="7" t="n">
        <v>15000</v>
      </c>
      <c r="E4" s="8" t="inlineStr">
        <is>
          <t>02_2022</t>
        </is>
      </c>
      <c r="F4" s="9" t="n"/>
      <c r="G4" t="n">
        <v>36000</v>
      </c>
      <c r="H4" t="n">
        <v>1800</v>
      </c>
      <c r="I4" t="n">
        <v>1600</v>
      </c>
      <c r="K4" s="10" t="n"/>
      <c r="M4" t="n">
        <v>84750</v>
      </c>
      <c r="O4" t="n">
        <v>2900</v>
      </c>
      <c r="P4" s="10" t="n">
        <v>1337.5</v>
      </c>
    </row>
    <row r="5">
      <c r="B5" s="7" t="n">
        <v>23168.32</v>
      </c>
      <c r="E5" s="8" t="inlineStr">
        <is>
          <t>03_2022</t>
        </is>
      </c>
      <c r="F5" s="9" t="n">
        <v>15100</v>
      </c>
      <c r="G5">
        <f>G4+F5</f>
        <v/>
      </c>
      <c r="H5" s="11">
        <f>G5*0.05</f>
        <v/>
      </c>
      <c r="I5">
        <f>H4</f>
        <v/>
      </c>
      <c r="J5">
        <f>H5-I5</f>
        <v/>
      </c>
      <c r="K5" s="10" t="n"/>
      <c r="L5" t="n">
        <v>106334.03</v>
      </c>
      <c r="M5">
        <f>M4+L5</f>
        <v/>
      </c>
      <c r="N5" s="12">
        <f>M5*0.05</f>
        <v/>
      </c>
      <c r="O5" t="n">
        <v>4237.5</v>
      </c>
      <c r="P5" s="13">
        <f>N5-O5</f>
        <v/>
      </c>
    </row>
    <row r="6">
      <c r="B6" s="7" t="n">
        <v>23400</v>
      </c>
      <c r="E6" s="8" t="inlineStr">
        <is>
          <t>04_2022</t>
        </is>
      </c>
      <c r="F6" s="9" t="n">
        <v>70560</v>
      </c>
      <c r="G6">
        <f>G5+F6</f>
        <v/>
      </c>
      <c r="H6" s="11">
        <f>G6*0.05</f>
        <v/>
      </c>
      <c r="I6">
        <f>H5</f>
        <v/>
      </c>
      <c r="J6">
        <f>H6-I6</f>
        <v/>
      </c>
      <c r="K6" s="10" t="n"/>
      <c r="L6" t="n">
        <v>80850</v>
      </c>
      <c r="M6">
        <f>M5+L6</f>
        <v/>
      </c>
      <c r="N6" s="12">
        <f>M6*0.05</f>
        <v/>
      </c>
      <c r="O6" s="14">
        <f>N5</f>
        <v/>
      </c>
      <c r="P6" s="13">
        <f>N6-O6</f>
        <v/>
      </c>
    </row>
    <row r="7">
      <c r="B7" s="15">
        <f>SUM(B3:B6)</f>
        <v/>
      </c>
      <c r="E7" s="8" t="inlineStr">
        <is>
          <t>01_2023</t>
        </is>
      </c>
      <c r="F7" s="9" t="n">
        <v>54000</v>
      </c>
      <c r="G7" t="n">
        <v>54000</v>
      </c>
      <c r="H7" s="11">
        <f>G7*0.05</f>
        <v/>
      </c>
      <c r="I7" t="n">
        <v>0</v>
      </c>
      <c r="J7">
        <f>G7*0.05</f>
        <v/>
      </c>
      <c r="K7" s="10" t="n"/>
      <c r="L7" t="n">
        <v>81580</v>
      </c>
      <c r="M7" t="n">
        <v>81580</v>
      </c>
      <c r="N7" s="11">
        <f>M7*0.05</f>
        <v/>
      </c>
      <c r="O7" t="n">
        <v>0</v>
      </c>
      <c r="P7" s="10">
        <f>M7*0.05</f>
        <v/>
      </c>
    </row>
    <row r="8">
      <c r="E8" s="8" t="inlineStr">
        <is>
          <t>02_2023</t>
        </is>
      </c>
      <c r="F8" s="9" t="n">
        <v>58500</v>
      </c>
      <c r="G8">
        <f>G7+F8</f>
        <v/>
      </c>
      <c r="H8" s="11">
        <f>G8*0.05</f>
        <v/>
      </c>
      <c r="I8">
        <f>H7</f>
        <v/>
      </c>
      <c r="J8">
        <f>H8-I8</f>
        <v/>
      </c>
      <c r="K8" s="10" t="n"/>
      <c r="L8" t="n">
        <v>75228.36</v>
      </c>
      <c r="M8">
        <f>M7+L8</f>
        <v/>
      </c>
      <c r="N8" s="12">
        <f>M8*0.05</f>
        <v/>
      </c>
      <c r="O8">
        <f>N7</f>
        <v/>
      </c>
      <c r="P8" s="13">
        <f>N8-O8</f>
        <v/>
      </c>
    </row>
    <row r="9" customFormat="1" s="16">
      <c r="B9" s="16" t="inlineStr">
        <is>
          <t xml:space="preserve"> Hel</t>
        </is>
      </c>
      <c r="C9" s="16" t="inlineStr">
        <is>
          <t>San</t>
        </is>
      </c>
      <c r="E9" s="17" t="inlineStr">
        <is>
          <t>03_2023</t>
        </is>
      </c>
      <c r="F9" s="18" t="n">
        <v>61500</v>
      </c>
      <c r="G9" s="25" t="n">
        <v>174000</v>
      </c>
      <c r="H9" s="25" t="n">
        <v>8700</v>
      </c>
      <c r="I9" s="25" t="n">
        <v>5625</v>
      </c>
      <c r="J9" s="25" t="n">
        <v>3075</v>
      </c>
      <c r="K9" s="10" t="n"/>
      <c r="L9" s="25" t="n">
        <v>4493</v>
      </c>
      <c r="M9" s="25" t="n">
        <v>161301.36</v>
      </c>
      <c r="N9" s="25" t="n">
        <v>8065.067999999999</v>
      </c>
      <c r="O9" s="25" t="n">
        <v>7840.418</v>
      </c>
      <c r="P9" s="19" t="n">
        <v>224.6499999999996</v>
      </c>
    </row>
    <row r="10">
      <c r="A10" s="20" t="n">
        <v>44577</v>
      </c>
      <c r="B10" t="n">
        <v>4300</v>
      </c>
      <c r="C10" t="n">
        <v>2400</v>
      </c>
      <c r="E10" s="21" t="inlineStr">
        <is>
          <t>04_2023</t>
        </is>
      </c>
      <c r="F10" s="22" t="n">
        <v>63000</v>
      </c>
      <c r="G10" s="26" t="n">
        <v>237000</v>
      </c>
      <c r="H10" s="26" t="n">
        <v>11850</v>
      </c>
      <c r="I10" s="26" t="n">
        <v>8700</v>
      </c>
      <c r="J10" s="26" t="n">
        <v>3150</v>
      </c>
      <c r="K10" s="10" t="n"/>
      <c r="L10" s="26" t="n">
        <v>0</v>
      </c>
      <c r="P10" s="10" t="n"/>
    </row>
    <row r="11">
      <c r="E11" s="21" t="inlineStr">
        <is>
          <t>01_2024</t>
        </is>
      </c>
      <c r="F11" s="22" t="n">
        <v>119592</v>
      </c>
      <c r="G11" s="26" t="n">
        <v>119592</v>
      </c>
      <c r="H11" s="26" t="n">
        <v>5979.6</v>
      </c>
      <c r="I11" s="26" t="n">
        <v>0</v>
      </c>
      <c r="J11" s="26" t="n">
        <v>5979.6</v>
      </c>
      <c r="K11" s="10" t="n"/>
      <c r="L11" s="26" t="n"/>
      <c r="M11" s="26" t="n"/>
      <c r="N11" s="26" t="n"/>
      <c r="O11" s="26" t="n"/>
      <c r="P11" s="23" t="n"/>
    </row>
    <row r="12">
      <c r="E12" s="21" t="inlineStr">
        <is>
          <t>02_2024</t>
        </is>
      </c>
      <c r="F12" s="22" t="n">
        <v>128105</v>
      </c>
      <c r="G12" s="26" t="n">
        <v>247697</v>
      </c>
      <c r="H12" s="26" t="n">
        <v>12384.85</v>
      </c>
      <c r="I12" s="26" t="n">
        <v>5979.6</v>
      </c>
      <c r="J12" s="26" t="n">
        <v>6405.25</v>
      </c>
      <c r="K12" s="10" t="n"/>
      <c r="L12" s="26" t="n"/>
      <c r="M12" s="26" t="n"/>
      <c r="N12" s="26" t="n"/>
      <c r="O12" s="26" t="n"/>
      <c r="P12" s="23" t="n"/>
      <c r="BS12" t="n">
        <v>10000</v>
      </c>
      <c r="BT12" t="n">
        <v>10000</v>
      </c>
      <c r="BU12" t="n">
        <v>500</v>
      </c>
      <c r="BV12" t="n">
        <v>0</v>
      </c>
      <c r="BW12" t="n">
        <v>500</v>
      </c>
    </row>
    <row r="13">
      <c r="E13" s="21" t="inlineStr">
        <is>
          <t>03_2024</t>
        </is>
      </c>
      <c r="F13" s="9" t="n">
        <v>181002</v>
      </c>
      <c r="G13" t="n">
        <v>428699</v>
      </c>
      <c r="H13" t="n">
        <v>21434.95</v>
      </c>
      <c r="I13" t="n">
        <v>12384.85</v>
      </c>
      <c r="J13" t="n">
        <v>9050.1</v>
      </c>
      <c r="K13" s="10" t="n"/>
      <c r="P13" s="10" t="n"/>
      <c r="BS13" t="n">
        <v>654321</v>
      </c>
      <c r="BT13" t="n">
        <v>666666</v>
      </c>
      <c r="BU13" t="n">
        <v>33333.3</v>
      </c>
      <c r="BV13" t="n">
        <v>0</v>
      </c>
      <c r="BW13" t="n">
        <v>33333.3</v>
      </c>
    </row>
    <row r="14">
      <c r="E14" s="21" t="inlineStr">
        <is>
          <t>04_2024</t>
        </is>
      </c>
      <c r="F14" s="9" t="n">
        <v>162285</v>
      </c>
      <c r="G14" t="n">
        <v>590984</v>
      </c>
      <c r="H14" t="n">
        <v>29549.2</v>
      </c>
      <c r="I14" t="n">
        <v>21434.95</v>
      </c>
      <c r="J14" t="n">
        <v>8114.25</v>
      </c>
      <c r="K14" s="10" t="n"/>
      <c r="P14" s="10" t="n"/>
    </row>
    <row r="15">
      <c r="E15" s="8" t="inlineStr">
        <is>
          <t>01_2025</t>
        </is>
      </c>
      <c r="F15" s="9" t="n">
        <v>163231</v>
      </c>
      <c r="G15" t="n">
        <v>163231</v>
      </c>
      <c r="H15" t="n">
        <v>8161.55</v>
      </c>
      <c r="I15" t="n">
        <v>0</v>
      </c>
      <c r="J15" t="n">
        <v>8161.55</v>
      </c>
      <c r="K15" s="10" t="n">
        <v>1632.31</v>
      </c>
      <c r="P15" s="10" t="n"/>
    </row>
    <row r="16">
      <c r="E16" s="8" t="inlineStr">
        <is>
          <t>02_2025</t>
        </is>
      </c>
      <c r="F16" s="9" t="n">
        <v>132671</v>
      </c>
      <c r="G16" t="n">
        <v>295902</v>
      </c>
      <c r="H16" t="n">
        <v>14795.1</v>
      </c>
      <c r="I16" t="n">
        <v>8161.55</v>
      </c>
      <c r="J16" t="n">
        <v>6633.55</v>
      </c>
      <c r="K16" s="10" t="n">
        <v>1326.71</v>
      </c>
      <c r="P16" s="10" t="n"/>
      <c r="Q16">
        <f>G17-(K15+K16)</f>
        <v/>
      </c>
    </row>
    <row r="17">
      <c r="E17" s="8" t="inlineStr">
        <is>
          <t>03_2025</t>
        </is>
      </c>
      <c r="F17" s="9" t="n">
        <v>75000</v>
      </c>
      <c r="G17" t="n">
        <v>370902</v>
      </c>
      <c r="H17" t="n">
        <v>18545.1</v>
      </c>
      <c r="I17" t="n">
        <v>14795.1</v>
      </c>
      <c r="J17" t="n">
        <v>3749.999999999998</v>
      </c>
      <c r="K17" s="10" t="n">
        <v>750</v>
      </c>
      <c r="P17" s="10" t="n"/>
      <c r="Q17">
        <f>(G17*0.01-(K15+K16))</f>
        <v/>
      </c>
      <c r="R17">
        <f>G17*0.01</f>
        <v/>
      </c>
      <c r="S17">
        <f>R17-750</f>
        <v/>
      </c>
    </row>
    <row r="18">
      <c r="E18" s="8" t="inlineStr">
        <is>
          <t>04_2025</t>
        </is>
      </c>
      <c r="F18" s="9" t="n">
        <v>76500</v>
      </c>
      <c r="G18" t="n">
        <v>447402</v>
      </c>
      <c r="H18" t="n">
        <v>22370.1</v>
      </c>
      <c r="I18" t="n">
        <v>18545.1</v>
      </c>
      <c r="J18" t="n">
        <v>3825</v>
      </c>
      <c r="K18" s="10" t="n">
        <v>765</v>
      </c>
      <c r="P18" s="10" t="n"/>
    </row>
    <row r="19">
      <c r="E19" s="8" t="inlineStr">
        <is>
          <t>01_2026</t>
        </is>
      </c>
      <c r="F19" s="9" t="n">
        <v>76500</v>
      </c>
      <c r="G19" t="n">
        <v>76500</v>
      </c>
      <c r="H19" t="n">
        <v>3825</v>
      </c>
      <c r="I19" t="n">
        <v>0</v>
      </c>
      <c r="J19" t="n">
        <v>3825</v>
      </c>
      <c r="K19" s="10" t="n">
        <v>765</v>
      </c>
      <c r="P19" s="10" t="n"/>
    </row>
    <row r="20">
      <c r="E20" s="8" t="inlineStr">
        <is>
          <t>02_2026</t>
        </is>
      </c>
      <c r="F20" s="9" t="n">
        <v>76500</v>
      </c>
      <c r="G20" t="n">
        <v>153000</v>
      </c>
      <c r="H20" t="n">
        <v>7650</v>
      </c>
      <c r="I20" t="n">
        <v>3825</v>
      </c>
      <c r="J20" t="n">
        <v>3825</v>
      </c>
      <c r="K20" s="10" t="n">
        <v>765</v>
      </c>
      <c r="P20" s="10" t="n"/>
    </row>
    <row r="21">
      <c r="E21" s="8" t="n"/>
      <c r="F21" s="9" t="n"/>
      <c r="K21" s="10" t="n"/>
      <c r="P21" s="10" t="n"/>
    </row>
    <row r="22">
      <c r="E22" s="8" t="n"/>
      <c r="F22" s="9" t="n"/>
      <c r="K22" s="10" t="n"/>
      <c r="P22" s="10" t="n"/>
    </row>
    <row r="23">
      <c r="E23" s="8" t="n"/>
      <c r="F23" s="9" t="n"/>
      <c r="K23" s="10" t="n"/>
      <c r="P23" s="10" t="n"/>
    </row>
    <row r="24">
      <c r="E24" s="8" t="n"/>
      <c r="F24" s="9" t="n"/>
      <c r="K24" s="10" t="n"/>
      <c r="P24" s="10" t="n"/>
    </row>
    <row r="25">
      <c r="E25" s="8" t="n"/>
      <c r="F25" s="9" t="n"/>
      <c r="K25" s="10" t="n"/>
      <c r="P25" s="10" t="n"/>
    </row>
    <row r="26">
      <c r="E26" s="8" t="n"/>
      <c r="F26" s="9" t="n"/>
      <c r="K26" s="10" t="n"/>
      <c r="P26" s="10" t="n"/>
    </row>
    <row r="27">
      <c r="E27" s="8" t="n"/>
      <c r="F27" s="9" t="n"/>
      <c r="K27" s="10" t="n"/>
      <c r="P27" s="10" t="n"/>
    </row>
    <row r="28">
      <c r="E28" s="8" t="n"/>
      <c r="F28" s="9" t="n"/>
      <c r="K28" s="10" t="n"/>
      <c r="P28" s="10" t="n"/>
    </row>
    <row r="29">
      <c r="E29" s="8" t="n"/>
      <c r="F29" s="9" t="n"/>
      <c r="K29" s="10" t="n"/>
      <c r="P29" s="10" t="n"/>
    </row>
    <row r="30">
      <c r="E30" s="8" t="n"/>
      <c r="F30" s="9" t="n"/>
      <c r="K30" s="10" t="n"/>
      <c r="P30" s="10" t="n"/>
    </row>
    <row r="31">
      <c r="E31" s="8" t="n"/>
      <c r="F31" s="9" t="n"/>
      <c r="K31" s="10" t="n"/>
      <c r="P31" s="10" t="n"/>
    </row>
    <row r="32">
      <c r="E32" s="8" t="n"/>
      <c r="F32" s="9" t="n"/>
      <c r="K32" s="10" t="n"/>
      <c r="P32" s="10" t="n"/>
    </row>
    <row r="33">
      <c r="E33" s="8" t="n"/>
      <c r="F33" s="9" t="n"/>
      <c r="K33" s="10" t="n"/>
      <c r="P33" s="10" t="n"/>
    </row>
    <row r="34">
      <c r="E34" s="8" t="n"/>
      <c r="F34" s="9" t="n"/>
      <c r="K34" s="10" t="n"/>
      <c r="P34" s="10" t="n"/>
    </row>
    <row r="35">
      <c r="E35" s="8" t="n"/>
      <c r="F35" s="9" t="n"/>
      <c r="K35" s="10" t="n"/>
      <c r="P35" s="10" t="n"/>
    </row>
    <row r="36">
      <c r="E36" s="8" t="n"/>
      <c r="F36" s="9" t="n"/>
      <c r="K36" s="10" t="n"/>
      <c r="P36" s="10" t="n"/>
    </row>
    <row r="37">
      <c r="E37" s="8" t="n"/>
      <c r="F37" s="9" t="n"/>
      <c r="K37" s="10" t="n"/>
      <c r="P37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Connor</dc:creator>
  <dcterms:created xmlns:dcterms="http://purl.org/dc/terms/" xmlns:xsi="http://www.w3.org/2001/XMLSchema-instance" xsi:type="dcterms:W3CDTF">2024-07-19T12:40:47Z</dcterms:created>
  <dcterms:modified xmlns:dcterms="http://purl.org/dc/terms/" xmlns:xsi="http://www.w3.org/2001/XMLSchema-instance" xsi:type="dcterms:W3CDTF">2026-07-11T17:32:26Z</dcterms:modified>
  <cp:lastModifiedBy>John Connor</cp:lastModifiedBy>
</cp:coreProperties>
</file>